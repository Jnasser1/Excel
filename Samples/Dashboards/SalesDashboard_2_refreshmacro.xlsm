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Ex2.xml" ContentType="application/vnd.ms-office.chartex+xml"/>
  <Override PartName="/xl/charts/style8.xml" ContentType="application/vnd.ms-office.chartstyle+xml"/>
  <Override PartName="/xl/charts/colors8.xml" ContentType="application/vnd.ms-office.chartcolorstyle+xml"/>
  <Override PartName="/xl/theme/themeOverride1.xml" ContentType="application/vnd.openxmlformats-officedocument.themeOverrid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Ex3.xml" ContentType="application/vnd.ms-office.chartex+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12.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Ex4.xml" ContentType="application/vnd.ms-office.chartex+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jihad\Desktop\EXCEL\SampleDashs\SalesDashboard_2\"/>
    </mc:Choice>
  </mc:AlternateContent>
  <xr:revisionPtr revIDLastSave="0" documentId="8_{0EC6C05A-2E8E-448F-96BA-10B4685C786D}" xr6:coauthVersionLast="47" xr6:coauthVersionMax="47" xr10:uidLastSave="{00000000-0000-0000-0000-000000000000}"/>
  <bookViews>
    <workbookView xWindow="-108" yWindow="-108" windowWidth="23256" windowHeight="12576" activeTab="3" xr2:uid="{D549A517-2420-43C8-8E4D-E70E6DCCA35A}"/>
  </bookViews>
  <sheets>
    <sheet name="Business Problem" sheetId="3" r:id="rId1"/>
    <sheet name="Sales Data" sheetId="1" r:id="rId2"/>
    <sheet name="Total Sales Trend " sheetId="4" r:id="rId3"/>
    <sheet name="Dashboard" sheetId="11" r:id="rId4"/>
    <sheet name="Total Sales Area" sheetId="5" r:id="rId5"/>
    <sheet name="Product Ratings" sheetId="7" r:id="rId6"/>
    <sheet name="Faulty Products" sheetId="6" r:id="rId7"/>
    <sheet name="Channel Waterfall Chart" sheetId="8" r:id="rId8"/>
    <sheet name="Top Sales Emp" sheetId="9" r:id="rId9"/>
  </sheets>
  <definedNames>
    <definedName name="_xlchart.v1.10" hidden="1">'Channel Waterfall Chart'!$D$3:$D$6</definedName>
    <definedName name="_xlchart.v1.11" hidden="1">'Channel Waterfall Chart'!$E$3:$E$6</definedName>
    <definedName name="_xlchart.v1.4" hidden="1">'Channel Waterfall Chart'!$D$3:$D$6</definedName>
    <definedName name="_xlchart.v1.5" hidden="1">'Channel Waterfall Chart'!$E$3:$E$6</definedName>
    <definedName name="_xlchart.v5.0" hidden="1">'Total Sales Area'!$A$10</definedName>
    <definedName name="_xlchart.v5.1" hidden="1">'Total Sales Area'!$A$9</definedName>
    <definedName name="_xlchart.v5.2" hidden="1">'Total Sales Area'!$B$10:$F$10</definedName>
    <definedName name="_xlchart.v5.3" hidden="1">'Total Sales Area'!$B$9:$F$9</definedName>
    <definedName name="_xlchart.v5.6" hidden="1">'Total Sales Area'!$A$10</definedName>
    <definedName name="_xlchart.v5.7" hidden="1">'Total Sales Area'!$A$9</definedName>
    <definedName name="_xlchart.v5.8" hidden="1">'Total Sales Area'!$B$10:$F$10</definedName>
    <definedName name="_xlchart.v5.9" hidden="1">'Total Sales Area'!$B$9:$F$9</definedName>
    <definedName name="SalesTable">Table1[]</definedName>
    <definedName name="Slicer_Area">#N/A</definedName>
    <definedName name="Slicer_Product">#N/A</definedName>
    <definedName name="Slicer_Sales_Channel">#N/A</definedName>
    <definedName name="Slicer_Year">#N/A</definedName>
  </definedNames>
  <calcPr calcId="191029"/>
  <pivotCaches>
    <pivotCache cacheId="20"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 i="9" l="1"/>
  <c r="F18" i="6"/>
  <c r="C18" i="6"/>
  <c r="L18" i="6"/>
  <c r="I18" i="6"/>
  <c r="E5" i="9"/>
  <c r="D10" i="5" l="1"/>
  <c r="B10" i="5"/>
  <c r="E10" i="5"/>
  <c r="C10" i="5"/>
</calcChain>
</file>

<file path=xl/sharedStrings.xml><?xml version="1.0" encoding="utf-8"?>
<sst xmlns="http://schemas.openxmlformats.org/spreadsheetml/2006/main" count="1092" uniqueCount="139">
  <si>
    <t>FirstName</t>
  </si>
  <si>
    <t>Area</t>
  </si>
  <si>
    <t>Year</t>
  </si>
  <si>
    <t>Product</t>
  </si>
  <si>
    <t>Price</t>
  </si>
  <si>
    <t>Amount</t>
  </si>
  <si>
    <t>Total Sales</t>
  </si>
  <si>
    <t>Month</t>
  </si>
  <si>
    <t>Sales Channel</t>
  </si>
  <si>
    <t>Faulty</t>
  </si>
  <si>
    <t>Rating</t>
  </si>
  <si>
    <t>Benny</t>
  </si>
  <si>
    <t>California</t>
  </si>
  <si>
    <t>Laptop</t>
  </si>
  <si>
    <t>Jan</t>
  </si>
  <si>
    <t>Computer</t>
  </si>
  <si>
    <t>Yes</t>
  </si>
  <si>
    <t>5 Stars</t>
  </si>
  <si>
    <t>Johnny</t>
  </si>
  <si>
    <t>No</t>
  </si>
  <si>
    <t>2 Stars</t>
  </si>
  <si>
    <t>Mike</t>
  </si>
  <si>
    <t>App</t>
  </si>
  <si>
    <t>Caitlyn</t>
  </si>
  <si>
    <t>Feb</t>
  </si>
  <si>
    <t>Telephone</t>
  </si>
  <si>
    <t>3 Stars</t>
  </si>
  <si>
    <t>Boris</t>
  </si>
  <si>
    <t>Phone</t>
  </si>
  <si>
    <t>Javier</t>
  </si>
  <si>
    <t>Arizona</t>
  </si>
  <si>
    <t>4 Stars</t>
  </si>
  <si>
    <t>Nicholas</t>
  </si>
  <si>
    <t>Screen</t>
  </si>
  <si>
    <t>Mar</t>
  </si>
  <si>
    <t>Emmanuelle</t>
  </si>
  <si>
    <t>Abdul</t>
  </si>
  <si>
    <t>Apr</t>
  </si>
  <si>
    <t>Josephine</t>
  </si>
  <si>
    <t>May</t>
  </si>
  <si>
    <t>Bridget</t>
  </si>
  <si>
    <t>Jun</t>
  </si>
  <si>
    <t>Denny</t>
  </si>
  <si>
    <t>Jul</t>
  </si>
  <si>
    <t>Alan</t>
  </si>
  <si>
    <t>Aug</t>
  </si>
  <si>
    <t>Owen</t>
  </si>
  <si>
    <t>Mason</t>
  </si>
  <si>
    <t>Makenzie</t>
  </si>
  <si>
    <t>Utah</t>
  </si>
  <si>
    <t>Sep</t>
  </si>
  <si>
    <t>Agnes</t>
  </si>
  <si>
    <t>Tyson</t>
  </si>
  <si>
    <t>1 Star</t>
  </si>
  <si>
    <t>Aiden</t>
  </si>
  <si>
    <t>Chuck</t>
  </si>
  <si>
    <t>Dec</t>
  </si>
  <si>
    <t>Jacob</t>
  </si>
  <si>
    <t>Kurt</t>
  </si>
  <si>
    <t>Rae</t>
  </si>
  <si>
    <t>Nevada</t>
  </si>
  <si>
    <t>Bob</t>
  </si>
  <si>
    <t>Erick</t>
  </si>
  <si>
    <t>Josh</t>
  </si>
  <si>
    <t>Piper</t>
  </si>
  <si>
    <t>Elly</t>
  </si>
  <si>
    <t>Janelle</t>
  </si>
  <si>
    <t>Chadwick</t>
  </si>
  <si>
    <t>Roger</t>
  </si>
  <si>
    <t>Lindsay</t>
  </si>
  <si>
    <t>Alex</t>
  </si>
  <si>
    <t>Gwen</t>
  </si>
  <si>
    <t>Julianna</t>
  </si>
  <si>
    <t>Fiona</t>
  </si>
  <si>
    <t>Madison</t>
  </si>
  <si>
    <t>Christy</t>
  </si>
  <si>
    <t>Bryon</t>
  </si>
  <si>
    <t>Doug</t>
  </si>
  <si>
    <t>Clint</t>
  </si>
  <si>
    <t>Harmony</t>
  </si>
  <si>
    <t>Chad</t>
  </si>
  <si>
    <t>Hailey</t>
  </si>
  <si>
    <t>John</t>
  </si>
  <si>
    <t>Harry</t>
  </si>
  <si>
    <t>Carol</t>
  </si>
  <si>
    <t>Rufus</t>
  </si>
  <si>
    <t>Daniel</t>
  </si>
  <si>
    <t>Rihanna</t>
  </si>
  <si>
    <t>Maddison</t>
  </si>
  <si>
    <t>Shay</t>
  </si>
  <si>
    <t>Adina</t>
  </si>
  <si>
    <t>Charlotte</t>
  </si>
  <si>
    <t>Gabriel</t>
  </si>
  <si>
    <t>Ramon</t>
  </si>
  <si>
    <t>Mary</t>
  </si>
  <si>
    <t>Carl</t>
  </si>
  <si>
    <t>Raquel</t>
  </si>
  <si>
    <t>Georgia</t>
  </si>
  <si>
    <t>Noah</t>
  </si>
  <si>
    <t>Anne</t>
  </si>
  <si>
    <t>Lucas</t>
  </si>
  <si>
    <t>Andrea</t>
  </si>
  <si>
    <t>Adela</t>
  </si>
  <si>
    <t>Michelle</t>
  </si>
  <si>
    <t>Mara</t>
  </si>
  <si>
    <t>Oliver</t>
  </si>
  <si>
    <t>Sydney</t>
  </si>
  <si>
    <t>Alexander</t>
  </si>
  <si>
    <t>Erica</t>
  </si>
  <si>
    <t>Ally</t>
  </si>
  <si>
    <t>Sienna</t>
  </si>
  <si>
    <t>Mya</t>
  </si>
  <si>
    <t>June</t>
  </si>
  <si>
    <t>Oct</t>
  </si>
  <si>
    <t>Nov</t>
  </si>
  <si>
    <t>Enoch</t>
  </si>
  <si>
    <t>Jane</t>
  </si>
  <si>
    <t>Britney</t>
  </si>
  <si>
    <t>Anthony</t>
  </si>
  <si>
    <t>Elijah</t>
  </si>
  <si>
    <t>Jules</t>
  </si>
  <si>
    <t>Ethan</t>
  </si>
  <si>
    <t>Scarlett</t>
  </si>
  <si>
    <t>Jasmine</t>
  </si>
  <si>
    <t>Alba</t>
  </si>
  <si>
    <t>Margot</t>
  </si>
  <si>
    <t>Mayleen</t>
  </si>
  <si>
    <t>Julian</t>
  </si>
  <si>
    <t>Column Labels</t>
  </si>
  <si>
    <t>Grand Total</t>
  </si>
  <si>
    <t>Row Labels</t>
  </si>
  <si>
    <t>Sum of Total Sales</t>
  </si>
  <si>
    <t>Total trended sales results</t>
  </si>
  <si>
    <t>Year.Month</t>
  </si>
  <si>
    <t xml:space="preserve">Total Sales </t>
  </si>
  <si>
    <t>Sales</t>
  </si>
  <si>
    <t>(All)</t>
  </si>
  <si>
    <t>Count of Total Sales</t>
  </si>
  <si>
    <t>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</si>
</sst>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0.0%"/>
  </numFmts>
  <fonts count="5" x14ac:knownFonts="1">
    <font>
      <sz val="11"/>
      <color theme="1"/>
      <name val="Calibri"/>
      <family val="2"/>
      <scheme val="minor"/>
    </font>
    <font>
      <sz val="12"/>
      <name val="Calibri"/>
      <family val="2"/>
      <scheme val="minor"/>
    </font>
    <font>
      <b/>
      <sz val="11"/>
      <color theme="1"/>
      <name val="Calibri"/>
      <family val="2"/>
      <scheme val="minor"/>
    </font>
    <font>
      <sz val="14"/>
      <color theme="1"/>
      <name val="Calibri"/>
      <family val="2"/>
      <scheme val="minor"/>
    </font>
    <font>
      <u/>
      <sz val="14"/>
      <color theme="1"/>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5" tint="0.79998168889431442"/>
        <bgColor indexed="64"/>
      </patternFill>
    </fill>
  </fills>
  <borders count="3">
    <border>
      <left/>
      <right/>
      <top/>
      <bottom/>
      <diagonal/>
    </border>
    <border>
      <left/>
      <right/>
      <top/>
      <bottom style="thin">
        <color theme="4" tint="0.39997558519241921"/>
      </bottom>
      <diagonal/>
    </border>
    <border>
      <left/>
      <right/>
      <top style="thin">
        <color theme="4" tint="0.39997558519241921"/>
      </top>
      <bottom/>
      <diagonal/>
    </border>
  </borders>
  <cellStyleXfs count="1">
    <xf numFmtId="0" fontId="0" fillId="0" borderId="0"/>
  </cellStyleXfs>
  <cellXfs count="20">
    <xf numFmtId="0" fontId="0" fillId="0" borderId="0" xfId="0"/>
    <xf numFmtId="0" fontId="1" fillId="0" borderId="0" xfId="0" applyFont="1"/>
    <xf numFmtId="0" fontId="0" fillId="0" borderId="0" xfId="0" pivotButton="1"/>
    <xf numFmtId="0" fontId="2" fillId="2" borderId="1" xfId="0" applyFont="1" applyFill="1" applyBorder="1"/>
    <xf numFmtId="0" fontId="0" fillId="0" borderId="0" xfId="0" applyAlignment="1">
      <alignment horizontal="left"/>
    </xf>
    <xf numFmtId="0" fontId="0" fillId="0" borderId="0" xfId="0" applyAlignment="1">
      <alignment horizontal="left" indent="1"/>
    </xf>
    <xf numFmtId="0" fontId="0" fillId="0" borderId="0" xfId="0" applyNumberFormat="1"/>
    <xf numFmtId="0" fontId="3" fillId="3" borderId="0" xfId="0" applyFont="1" applyFill="1"/>
    <xf numFmtId="0" fontId="4" fillId="3" borderId="0" xfId="0" applyFont="1" applyFill="1"/>
    <xf numFmtId="0" fontId="2" fillId="2" borderId="2" xfId="0" applyFont="1" applyFill="1" applyBorder="1"/>
    <xf numFmtId="3" fontId="0" fillId="0" borderId="0" xfId="0" applyNumberFormat="1"/>
    <xf numFmtId="10" fontId="0" fillId="0" borderId="0" xfId="0" applyNumberFormat="1"/>
    <xf numFmtId="3" fontId="0" fillId="0" borderId="0" xfId="0" pivotButton="1" applyNumberFormat="1"/>
    <xf numFmtId="3" fontId="0" fillId="0" borderId="0" xfId="0" applyNumberFormat="1" applyAlignment="1">
      <alignment horizontal="left"/>
    </xf>
    <xf numFmtId="164" fontId="0" fillId="0" borderId="0" xfId="0" applyNumberFormat="1"/>
    <xf numFmtId="4" fontId="0" fillId="0" borderId="0" xfId="0" applyNumberFormat="1" applyAlignment="1">
      <alignment horizontal="left"/>
    </xf>
    <xf numFmtId="164" fontId="0" fillId="0" borderId="0" xfId="0" applyNumberFormat="1" applyAlignment="1">
      <alignment horizontal="left"/>
    </xf>
    <xf numFmtId="164" fontId="2" fillId="2" borderId="2" xfId="0" applyNumberFormat="1" applyFont="1" applyFill="1" applyBorder="1" applyAlignment="1">
      <alignment horizontal="left"/>
    </xf>
    <xf numFmtId="164" fontId="2" fillId="2" borderId="2" xfId="0" applyNumberFormat="1" applyFont="1" applyFill="1" applyBorder="1"/>
    <xf numFmtId="165" fontId="0" fillId="0" borderId="0" xfId="0" applyNumberFormat="1"/>
  </cellXfs>
  <cellStyles count="1">
    <cellStyle name="Normal" xfId="0" builtinId="0"/>
  </cellStyles>
  <dxfs count="51">
    <dxf>
      <numFmt numFmtId="164" formatCode="&quot;$&quot;#,##0"/>
    </dxf>
    <dxf>
      <numFmt numFmtId="164" formatCode="&quot;$&quot;#,##0"/>
    </dxf>
    <dxf>
      <numFmt numFmtId="164" formatCode="&quot;$&quot;#,##0"/>
    </dxf>
    <dxf>
      <numFmt numFmtId="4" formatCode="#,##0.00"/>
    </dxf>
    <dxf>
      <numFmt numFmtId="4" formatCode="#,##0.00"/>
    </dxf>
    <dxf>
      <numFmt numFmtId="164" formatCode="&quot;$&quot;#,##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4" formatCode="&quot;$&quot;#,##0"/>
    </dxf>
    <dxf>
      <numFmt numFmtId="164" formatCode="&quot;$&quot;#,##0"/>
    </dxf>
    <dxf>
      <numFmt numFmtId="164" formatCode="&quot;$&quot;#,##0"/>
    </dxf>
    <dxf>
      <numFmt numFmtId="164" formatCode="&quot;$&quot;#,##0"/>
    </dxf>
    <dxf>
      <numFmt numFmtId="4" formatCode="#,##0.00"/>
    </dxf>
    <dxf>
      <numFmt numFmtId="4" formatCode="#,##0.00"/>
    </dxf>
    <dxf>
      <numFmt numFmtId="164" formatCode="&quot;$&quot;#,##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4" formatCode="&quot;$&quot;#,##0"/>
    </dxf>
    <dxf>
      <font>
        <b val="0"/>
        <i val="0"/>
        <strike val="0"/>
        <condense val="0"/>
        <extend val="0"/>
        <outline val="0"/>
        <shadow val="0"/>
        <u val="none"/>
        <vertAlign val="baseline"/>
        <sz val="12"/>
        <color auto="1"/>
        <name val="Calibri"/>
        <family val="2"/>
        <scheme val="minor"/>
      </font>
    </dxf>
    <dxf>
      <numFmt numFmtId="164" formatCode="&quot;$&quot;#,##0"/>
    </dxf>
    <dxf>
      <numFmt numFmtId="164" formatCode="&quot;$&quot;#,##0"/>
    </dxf>
    <dxf>
      <numFmt numFmtId="4" formatCode="#,##0.00"/>
    </dxf>
    <dxf>
      <numFmt numFmtId="4" formatCode="#,##0.00"/>
    </dxf>
    <dxf>
      <numFmt numFmtId="164" formatCode="&quot;$&quot;#,##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4" formatCode="&quot;$&quot;#,##0"/>
    </dxf>
    <dxf>
      <numFmt numFmtId="164" formatCode="&quot;$&quot;#,##0"/>
    </dxf>
    <dxf>
      <font>
        <color theme="0"/>
        <name val="Calibri Light"/>
        <family val="2"/>
        <scheme val="major"/>
      </font>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DashboardSlicer" pivot="0" table="0" count="10" xr9:uid="{3E237818-4237-4023-A387-F850901D227F}">
      <tableStyleElement type="wholeTable" dxfId="50"/>
      <tableStyleElement type="headerRow" dxfId="49"/>
    </tableStyle>
  </tableStyles>
  <colors>
    <mruColors>
      <color rgb="FFE80E0E"/>
      <color rgb="FFFF6600"/>
      <color rgb="FFF99595"/>
      <color rgb="FF1A046C"/>
      <color rgb="FFFFF3F3"/>
      <color rgb="FF4F67DF"/>
      <color rgb="FF3B10A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4" tint="-0.24994659260841701"/>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00206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shboard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8.xml"/><Relationship Id="rId1" Type="http://schemas.microsoft.com/office/2011/relationships/chartStyle" Target="style8.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[SalesDashboard_2_refreshmacro.xlsm]Total Sales Trend !PivotTable1</c:name>
    <c:fmtId val="0"/>
  </c:pivotSource>
  <c:chart>
    <c:title>
      <c:tx>
        <c:rich>
          <a:bodyPr rot="0" spcFirstLastPara="1" vertOverflow="ellipsis" vert="horz" wrap="square" anchor="ctr" anchorCtr="1"/>
          <a:lstStyle/>
          <a:p>
            <a:pPr algn="ctr">
              <a:defRPr sz="1600" b="1" i="0" u="none" strike="noStrike" kern="1200" cap="none" spc="0" normalizeH="0" baseline="0">
                <a:solidFill>
                  <a:schemeClr val="dk1">
                    <a:lumMod val="50000"/>
                    <a:lumOff val="50000"/>
                  </a:schemeClr>
                </a:solidFill>
                <a:latin typeface="+mj-lt"/>
                <a:ea typeface="+mj-ea"/>
                <a:cs typeface="+mj-cs"/>
              </a:defRPr>
            </a:pPr>
            <a:r>
              <a:rPr lang="en-US">
                <a:solidFill>
                  <a:schemeClr val="tx1"/>
                </a:solidFill>
              </a:rPr>
              <a:t>Total Sales by Year and Month</a:t>
            </a:r>
          </a:p>
        </c:rich>
      </c:tx>
      <c:layout>
        <c:manualLayout>
          <c:xMode val="edge"/>
          <c:yMode val="edge"/>
          <c:x val="0.38626128909834073"/>
          <c:y val="1.7200165671713636E-2"/>
        </c:manualLayout>
      </c:layout>
      <c:overlay val="0"/>
      <c:spPr>
        <a:noFill/>
        <a:ln>
          <a:noFill/>
        </a:ln>
        <a:effectLst/>
      </c:spPr>
      <c:txPr>
        <a:bodyPr rot="0" spcFirstLastPara="1" vertOverflow="ellipsis" vert="horz" wrap="square" anchor="ctr" anchorCtr="1"/>
        <a:lstStyle/>
        <a:p>
          <a:pPr algn="ct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ln w="22225" cap="rnd">
            <a:solidFill>
              <a:schemeClr val="accent1">
                <a:lumMod val="75000"/>
              </a:schemeClr>
            </a:solidFill>
            <a:round/>
          </a:ln>
          <a:effectLst/>
        </c:spPr>
        <c:marker>
          <c:symbol val="circle"/>
          <c:size val="6"/>
          <c:spPr>
            <a:solidFill>
              <a:schemeClr val="accent1">
                <a:lumMod val="75000"/>
              </a:schemeClr>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 Sales Trend '!$B$3</c:f>
              <c:strCache>
                <c:ptCount val="1"/>
                <c:pt idx="0">
                  <c:v>Total</c:v>
                </c:pt>
              </c:strCache>
            </c:strRef>
          </c:tx>
          <c:spPr>
            <a:ln w="22225" cap="rnd">
              <a:solidFill>
                <a:schemeClr val="accent1">
                  <a:lumMod val="75000"/>
                </a:schemeClr>
              </a:solidFill>
              <a:round/>
            </a:ln>
            <a:effectLst/>
          </c:spPr>
          <c:marker>
            <c:symbol val="circle"/>
            <c:size val="6"/>
            <c:spPr>
              <a:solidFill>
                <a:schemeClr val="accent1">
                  <a:lumMod val="75000"/>
                </a:schemeClr>
              </a:solidFill>
              <a:ln w="15875">
                <a:solidFill>
                  <a:schemeClr val="accent1"/>
                </a:solidFill>
                <a:round/>
              </a:ln>
              <a:effectLst/>
            </c:spPr>
          </c:marker>
          <c:trendline>
            <c:spPr>
              <a:ln w="19050" cap="rnd">
                <a:solidFill>
                  <a:schemeClr val="accent1"/>
                </a:solidFill>
              </a:ln>
              <a:effectLst/>
            </c:spPr>
            <c:trendlineType val="linear"/>
            <c:dispRSqr val="0"/>
            <c:dispEq val="0"/>
          </c:trendline>
          <c:cat>
            <c:multiLvlStrRef>
              <c:f>'Total Sales Trend '!$A$4:$A$72</c:f>
              <c:multiLvlStrCache>
                <c:ptCount val="62"/>
                <c:lvl>
                  <c:pt idx="0">
                    <c:v>Jan</c:v>
                  </c:pt>
                  <c:pt idx="1">
                    <c:v>Feb</c:v>
                  </c:pt>
                  <c:pt idx="2">
                    <c:v>Mar</c:v>
                  </c:pt>
                  <c:pt idx="3">
                    <c:v>Apr</c:v>
                  </c:pt>
                  <c:pt idx="4">
                    <c:v>May</c:v>
                  </c:pt>
                  <c:pt idx="5">
                    <c:v>Jun</c:v>
                  </c:pt>
                  <c:pt idx="6">
                    <c:v>Jul</c:v>
                  </c:pt>
                  <c:pt idx="7">
                    <c:v>Aug</c:v>
                  </c:pt>
                  <c:pt idx="8">
                    <c:v>Sep</c:v>
                  </c:pt>
                  <c:pt idx="9">
                    <c:v>Dec</c:v>
                  </c:pt>
                  <c:pt idx="10">
                    <c:v>Jan</c:v>
                  </c:pt>
                  <c:pt idx="11">
                    <c:v>Feb</c:v>
                  </c:pt>
                  <c:pt idx="12">
                    <c:v>Mar</c:v>
                  </c:pt>
                  <c:pt idx="13">
                    <c:v>Apr</c:v>
                  </c:pt>
                  <c:pt idx="14">
                    <c:v>May</c:v>
                  </c:pt>
                  <c:pt idx="15">
                    <c:v>Jun</c:v>
                  </c:pt>
                  <c:pt idx="16">
                    <c:v>Jul</c:v>
                  </c:pt>
                  <c:pt idx="17">
                    <c:v>Aug</c:v>
                  </c:pt>
                  <c:pt idx="18">
                    <c:v>Sep</c:v>
                  </c:pt>
                  <c:pt idx="19">
                    <c:v>Dec</c:v>
                  </c:pt>
                  <c:pt idx="20">
                    <c:v>Jan</c:v>
                  </c:pt>
                  <c:pt idx="21">
                    <c:v>Feb</c:v>
                  </c:pt>
                  <c:pt idx="22">
                    <c:v>Mar</c:v>
                  </c:pt>
                  <c:pt idx="23">
                    <c:v>Apr</c:v>
                  </c:pt>
                  <c:pt idx="24">
                    <c:v>May</c:v>
                  </c:pt>
                  <c:pt idx="25">
                    <c:v>Jun</c:v>
                  </c:pt>
                  <c:pt idx="26">
                    <c:v>Jul</c:v>
                  </c:pt>
                  <c:pt idx="27">
                    <c:v>Aug</c:v>
                  </c:pt>
                  <c:pt idx="28">
                    <c:v>Sep</c:v>
                  </c:pt>
                  <c:pt idx="29">
                    <c:v>Dec</c:v>
                  </c:pt>
                  <c:pt idx="30">
                    <c:v>Jan</c:v>
                  </c:pt>
                  <c:pt idx="31">
                    <c:v>Feb</c:v>
                  </c:pt>
                  <c:pt idx="32">
                    <c:v>Mar</c:v>
                  </c:pt>
                  <c:pt idx="33">
                    <c:v>Apr</c:v>
                  </c:pt>
                  <c:pt idx="34">
                    <c:v>May</c:v>
                  </c:pt>
                  <c:pt idx="35">
                    <c:v>Jun</c:v>
                  </c:pt>
                  <c:pt idx="36">
                    <c:v>Jul</c:v>
                  </c:pt>
                  <c:pt idx="37">
                    <c:v>Aug</c:v>
                  </c:pt>
                  <c:pt idx="38">
                    <c:v>Sep</c:v>
                  </c:pt>
                  <c:pt idx="39">
                    <c:v>Dec</c:v>
                  </c:pt>
                  <c:pt idx="40">
                    <c:v>Jan</c:v>
                  </c:pt>
                  <c:pt idx="41">
                    <c:v>June</c:v>
                  </c:pt>
                  <c:pt idx="42">
                    <c:v>Feb</c:v>
                  </c:pt>
                  <c:pt idx="43">
                    <c:v>Mar</c:v>
                  </c:pt>
                  <c:pt idx="44">
                    <c:v>Apr</c:v>
                  </c:pt>
                  <c:pt idx="45">
                    <c:v>May</c:v>
                  </c:pt>
                  <c:pt idx="46">
                    <c:v>Jul</c:v>
                  </c:pt>
                  <c:pt idx="47">
                    <c:v>Aug</c:v>
                  </c:pt>
                  <c:pt idx="48">
                    <c:v>Sep</c:v>
                  </c:pt>
                  <c:pt idx="49">
                    <c:v>Oct</c:v>
                  </c:pt>
                  <c:pt idx="50">
                    <c:v>Nov</c:v>
                  </c:pt>
                  <c:pt idx="51">
                    <c:v>Dec</c:v>
                  </c:pt>
                  <c:pt idx="52">
                    <c:v>Jan</c:v>
                  </c:pt>
                  <c:pt idx="53">
                    <c:v>Feb</c:v>
                  </c:pt>
                  <c:pt idx="54">
                    <c:v>Mar</c:v>
                  </c:pt>
                  <c:pt idx="55">
                    <c:v>Apr</c:v>
                  </c:pt>
                  <c:pt idx="56">
                    <c:v>May</c:v>
                  </c:pt>
                  <c:pt idx="57">
                    <c:v>Jun</c:v>
                  </c:pt>
                  <c:pt idx="58">
                    <c:v>Jul</c:v>
                  </c:pt>
                  <c:pt idx="59">
                    <c:v>Aug</c:v>
                  </c:pt>
                  <c:pt idx="60">
                    <c:v>Sep</c:v>
                  </c:pt>
                  <c:pt idx="61">
                    <c:v>Dec</c:v>
                  </c:pt>
                </c:lvl>
                <c:lvl>
                  <c:pt idx="0">
                    <c:v>2015</c:v>
                  </c:pt>
                  <c:pt idx="10">
                    <c:v>2016</c:v>
                  </c:pt>
                  <c:pt idx="20">
                    <c:v>2017</c:v>
                  </c:pt>
                  <c:pt idx="30">
                    <c:v>2018</c:v>
                  </c:pt>
                  <c:pt idx="40">
                    <c:v>2019</c:v>
                  </c:pt>
                  <c:pt idx="52">
                    <c:v>2020</c:v>
                  </c:pt>
                </c:lvl>
              </c:multiLvlStrCache>
            </c:multiLvlStrRef>
          </c:cat>
          <c:val>
            <c:numRef>
              <c:f>'Total Sales Trend '!$B$4:$B$72</c:f>
              <c:numCache>
                <c:formatCode>"$"#,##0</c:formatCode>
                <c:ptCount val="62"/>
                <c:pt idx="0">
                  <c:v>6500</c:v>
                </c:pt>
                <c:pt idx="1">
                  <c:v>4400</c:v>
                </c:pt>
                <c:pt idx="2">
                  <c:v>2750</c:v>
                </c:pt>
                <c:pt idx="3">
                  <c:v>2975</c:v>
                </c:pt>
                <c:pt idx="4">
                  <c:v>2125</c:v>
                </c:pt>
                <c:pt idx="5">
                  <c:v>600</c:v>
                </c:pt>
                <c:pt idx="6">
                  <c:v>4550</c:v>
                </c:pt>
                <c:pt idx="7">
                  <c:v>4850</c:v>
                </c:pt>
                <c:pt idx="8">
                  <c:v>6025</c:v>
                </c:pt>
                <c:pt idx="9">
                  <c:v>6800</c:v>
                </c:pt>
                <c:pt idx="10">
                  <c:v>7350</c:v>
                </c:pt>
                <c:pt idx="11">
                  <c:v>4550</c:v>
                </c:pt>
                <c:pt idx="12">
                  <c:v>2975</c:v>
                </c:pt>
                <c:pt idx="13">
                  <c:v>1950</c:v>
                </c:pt>
                <c:pt idx="14">
                  <c:v>5200</c:v>
                </c:pt>
                <c:pt idx="15">
                  <c:v>3250</c:v>
                </c:pt>
                <c:pt idx="16">
                  <c:v>1200</c:v>
                </c:pt>
                <c:pt idx="17">
                  <c:v>3925</c:v>
                </c:pt>
                <c:pt idx="18">
                  <c:v>9625</c:v>
                </c:pt>
                <c:pt idx="19">
                  <c:v>10125</c:v>
                </c:pt>
                <c:pt idx="20">
                  <c:v>5400</c:v>
                </c:pt>
                <c:pt idx="21">
                  <c:v>7800</c:v>
                </c:pt>
                <c:pt idx="22">
                  <c:v>3000</c:v>
                </c:pt>
                <c:pt idx="23">
                  <c:v>750</c:v>
                </c:pt>
                <c:pt idx="24">
                  <c:v>2550</c:v>
                </c:pt>
                <c:pt idx="25">
                  <c:v>2550</c:v>
                </c:pt>
                <c:pt idx="26">
                  <c:v>2125</c:v>
                </c:pt>
                <c:pt idx="27">
                  <c:v>4675</c:v>
                </c:pt>
                <c:pt idx="28">
                  <c:v>7250</c:v>
                </c:pt>
                <c:pt idx="29">
                  <c:v>4150</c:v>
                </c:pt>
                <c:pt idx="30">
                  <c:v>4575</c:v>
                </c:pt>
                <c:pt idx="31">
                  <c:v>4325</c:v>
                </c:pt>
                <c:pt idx="32">
                  <c:v>2600</c:v>
                </c:pt>
                <c:pt idx="33">
                  <c:v>3250</c:v>
                </c:pt>
                <c:pt idx="34">
                  <c:v>1050</c:v>
                </c:pt>
                <c:pt idx="35">
                  <c:v>1275</c:v>
                </c:pt>
                <c:pt idx="36">
                  <c:v>1275</c:v>
                </c:pt>
                <c:pt idx="37">
                  <c:v>6700</c:v>
                </c:pt>
                <c:pt idx="38">
                  <c:v>8475</c:v>
                </c:pt>
                <c:pt idx="39">
                  <c:v>2550</c:v>
                </c:pt>
                <c:pt idx="40">
                  <c:v>2550</c:v>
                </c:pt>
                <c:pt idx="41">
                  <c:v>1950</c:v>
                </c:pt>
                <c:pt idx="42">
                  <c:v>2600</c:v>
                </c:pt>
                <c:pt idx="43">
                  <c:v>4550</c:v>
                </c:pt>
                <c:pt idx="44">
                  <c:v>1700</c:v>
                </c:pt>
                <c:pt idx="45">
                  <c:v>1800</c:v>
                </c:pt>
                <c:pt idx="46">
                  <c:v>600</c:v>
                </c:pt>
                <c:pt idx="47">
                  <c:v>4675</c:v>
                </c:pt>
                <c:pt idx="48">
                  <c:v>1275</c:v>
                </c:pt>
                <c:pt idx="49">
                  <c:v>600</c:v>
                </c:pt>
                <c:pt idx="50">
                  <c:v>2600</c:v>
                </c:pt>
                <c:pt idx="51">
                  <c:v>3750</c:v>
                </c:pt>
                <c:pt idx="52">
                  <c:v>5950</c:v>
                </c:pt>
                <c:pt idx="53">
                  <c:v>7225</c:v>
                </c:pt>
                <c:pt idx="54">
                  <c:v>5600</c:v>
                </c:pt>
                <c:pt idx="55">
                  <c:v>900</c:v>
                </c:pt>
                <c:pt idx="56">
                  <c:v>2975</c:v>
                </c:pt>
                <c:pt idx="57">
                  <c:v>1700</c:v>
                </c:pt>
                <c:pt idx="58">
                  <c:v>2975</c:v>
                </c:pt>
                <c:pt idx="59">
                  <c:v>5400</c:v>
                </c:pt>
                <c:pt idx="60">
                  <c:v>8250</c:v>
                </c:pt>
                <c:pt idx="61">
                  <c:v>3675</c:v>
                </c:pt>
              </c:numCache>
            </c:numRef>
          </c:val>
          <c:smooth val="1"/>
          <c:extLst>
            <c:ext xmlns:c16="http://schemas.microsoft.com/office/drawing/2014/chart" uri="{C3380CC4-5D6E-409C-BE32-E72D297353CC}">
              <c16:uniqueId val="{00000000-BCB9-4C17-8413-128D0A121EAE}"/>
            </c:ext>
          </c:extLst>
        </c:ser>
        <c:dLbls>
          <c:showLegendKey val="0"/>
          <c:showVal val="0"/>
          <c:showCatName val="0"/>
          <c:showSerName val="0"/>
          <c:showPercent val="0"/>
          <c:showBubbleSize val="0"/>
        </c:dLbls>
        <c:marker val="1"/>
        <c:smooth val="0"/>
        <c:axId val="1206380320"/>
        <c:axId val="1206391552"/>
      </c:lineChart>
      <c:catAx>
        <c:axId val="1206380320"/>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206391552"/>
        <c:crosses val="autoZero"/>
        <c:auto val="1"/>
        <c:lblAlgn val="ctr"/>
        <c:lblOffset val="100"/>
        <c:noMultiLvlLbl val="0"/>
      </c:catAx>
      <c:valAx>
        <c:axId val="1206391552"/>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206380320"/>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[SalesDashboard_2_refreshmacro.xlsm]Total Sales Trend !PivotTable1</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gradFill>
              <a:gsLst>
                <a:gs pos="57000">
                  <a:srgbClr val="00B050"/>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 Sales Trend '!$B$3</c:f>
              <c:strCache>
                <c:ptCount val="1"/>
                <c:pt idx="0">
                  <c:v>Total</c:v>
                </c:pt>
              </c:strCache>
            </c:strRef>
          </c:tx>
          <c:spPr>
            <a:ln w="34925" cap="rnd">
              <a:gradFill>
                <a:gsLst>
                  <a:gs pos="57000">
                    <a:srgbClr val="00B050"/>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'Total Sales Trend '!$A$4:$A$72</c:f>
              <c:multiLvlStrCache>
                <c:ptCount val="62"/>
                <c:lvl>
                  <c:pt idx="0">
                    <c:v>Jan</c:v>
                  </c:pt>
                  <c:pt idx="1">
                    <c:v>Feb</c:v>
                  </c:pt>
                  <c:pt idx="2">
                    <c:v>Mar</c:v>
                  </c:pt>
                  <c:pt idx="3">
                    <c:v>Apr</c:v>
                  </c:pt>
                  <c:pt idx="4">
                    <c:v>May</c:v>
                  </c:pt>
                  <c:pt idx="5">
                    <c:v>Jun</c:v>
                  </c:pt>
                  <c:pt idx="6">
                    <c:v>Jul</c:v>
                  </c:pt>
                  <c:pt idx="7">
                    <c:v>Aug</c:v>
                  </c:pt>
                  <c:pt idx="8">
                    <c:v>Sep</c:v>
                  </c:pt>
                  <c:pt idx="9">
                    <c:v>Dec</c:v>
                  </c:pt>
                  <c:pt idx="10">
                    <c:v>Jan</c:v>
                  </c:pt>
                  <c:pt idx="11">
                    <c:v>Feb</c:v>
                  </c:pt>
                  <c:pt idx="12">
                    <c:v>Mar</c:v>
                  </c:pt>
                  <c:pt idx="13">
                    <c:v>Apr</c:v>
                  </c:pt>
                  <c:pt idx="14">
                    <c:v>May</c:v>
                  </c:pt>
                  <c:pt idx="15">
                    <c:v>Jun</c:v>
                  </c:pt>
                  <c:pt idx="16">
                    <c:v>Jul</c:v>
                  </c:pt>
                  <c:pt idx="17">
                    <c:v>Aug</c:v>
                  </c:pt>
                  <c:pt idx="18">
                    <c:v>Sep</c:v>
                  </c:pt>
                  <c:pt idx="19">
                    <c:v>Dec</c:v>
                  </c:pt>
                  <c:pt idx="20">
                    <c:v>Jan</c:v>
                  </c:pt>
                  <c:pt idx="21">
                    <c:v>Feb</c:v>
                  </c:pt>
                  <c:pt idx="22">
                    <c:v>Mar</c:v>
                  </c:pt>
                  <c:pt idx="23">
                    <c:v>Apr</c:v>
                  </c:pt>
                  <c:pt idx="24">
                    <c:v>May</c:v>
                  </c:pt>
                  <c:pt idx="25">
                    <c:v>Jun</c:v>
                  </c:pt>
                  <c:pt idx="26">
                    <c:v>Jul</c:v>
                  </c:pt>
                  <c:pt idx="27">
                    <c:v>Aug</c:v>
                  </c:pt>
                  <c:pt idx="28">
                    <c:v>Sep</c:v>
                  </c:pt>
                  <c:pt idx="29">
                    <c:v>Dec</c:v>
                  </c:pt>
                  <c:pt idx="30">
                    <c:v>Jan</c:v>
                  </c:pt>
                  <c:pt idx="31">
                    <c:v>Feb</c:v>
                  </c:pt>
                  <c:pt idx="32">
                    <c:v>Mar</c:v>
                  </c:pt>
                  <c:pt idx="33">
                    <c:v>Apr</c:v>
                  </c:pt>
                  <c:pt idx="34">
                    <c:v>May</c:v>
                  </c:pt>
                  <c:pt idx="35">
                    <c:v>Jun</c:v>
                  </c:pt>
                  <c:pt idx="36">
                    <c:v>Jul</c:v>
                  </c:pt>
                  <c:pt idx="37">
                    <c:v>Aug</c:v>
                  </c:pt>
                  <c:pt idx="38">
                    <c:v>Sep</c:v>
                  </c:pt>
                  <c:pt idx="39">
                    <c:v>Dec</c:v>
                  </c:pt>
                  <c:pt idx="40">
                    <c:v>Jan</c:v>
                  </c:pt>
                  <c:pt idx="41">
                    <c:v>June</c:v>
                  </c:pt>
                  <c:pt idx="42">
                    <c:v>Feb</c:v>
                  </c:pt>
                  <c:pt idx="43">
                    <c:v>Mar</c:v>
                  </c:pt>
                  <c:pt idx="44">
                    <c:v>Apr</c:v>
                  </c:pt>
                  <c:pt idx="45">
                    <c:v>May</c:v>
                  </c:pt>
                  <c:pt idx="46">
                    <c:v>Jul</c:v>
                  </c:pt>
                  <c:pt idx="47">
                    <c:v>Aug</c:v>
                  </c:pt>
                  <c:pt idx="48">
                    <c:v>Sep</c:v>
                  </c:pt>
                  <c:pt idx="49">
                    <c:v>Oct</c:v>
                  </c:pt>
                  <c:pt idx="50">
                    <c:v>Nov</c:v>
                  </c:pt>
                  <c:pt idx="51">
                    <c:v>Dec</c:v>
                  </c:pt>
                  <c:pt idx="52">
                    <c:v>Jan</c:v>
                  </c:pt>
                  <c:pt idx="53">
                    <c:v>Feb</c:v>
                  </c:pt>
                  <c:pt idx="54">
                    <c:v>Mar</c:v>
                  </c:pt>
                  <c:pt idx="55">
                    <c:v>Apr</c:v>
                  </c:pt>
                  <c:pt idx="56">
                    <c:v>May</c:v>
                  </c:pt>
                  <c:pt idx="57">
                    <c:v>Jun</c:v>
                  </c:pt>
                  <c:pt idx="58">
                    <c:v>Jul</c:v>
                  </c:pt>
                  <c:pt idx="59">
                    <c:v>Aug</c:v>
                  </c:pt>
                  <c:pt idx="60">
                    <c:v>Sep</c:v>
                  </c:pt>
                  <c:pt idx="61">
                    <c:v>Dec</c:v>
                  </c:pt>
                </c:lvl>
                <c:lvl>
                  <c:pt idx="0">
                    <c:v>2015</c:v>
                  </c:pt>
                  <c:pt idx="10">
                    <c:v>2016</c:v>
                  </c:pt>
                  <c:pt idx="20">
                    <c:v>2017</c:v>
                  </c:pt>
                  <c:pt idx="30">
                    <c:v>2018</c:v>
                  </c:pt>
                  <c:pt idx="40">
                    <c:v>2019</c:v>
                  </c:pt>
                  <c:pt idx="52">
                    <c:v>2020</c:v>
                  </c:pt>
                </c:lvl>
              </c:multiLvlStrCache>
            </c:multiLvlStrRef>
          </c:cat>
          <c:val>
            <c:numRef>
              <c:f>'Total Sales Trend '!$B$4:$B$72</c:f>
              <c:numCache>
                <c:formatCode>"$"#,##0</c:formatCode>
                <c:ptCount val="62"/>
                <c:pt idx="0">
                  <c:v>6500</c:v>
                </c:pt>
                <c:pt idx="1">
                  <c:v>4400</c:v>
                </c:pt>
                <c:pt idx="2">
                  <c:v>2750</c:v>
                </c:pt>
                <c:pt idx="3">
                  <c:v>2975</c:v>
                </c:pt>
                <c:pt idx="4">
                  <c:v>2125</c:v>
                </c:pt>
                <c:pt idx="5">
                  <c:v>600</c:v>
                </c:pt>
                <c:pt idx="6">
                  <c:v>4550</c:v>
                </c:pt>
                <c:pt idx="7">
                  <c:v>4850</c:v>
                </c:pt>
                <c:pt idx="8">
                  <c:v>6025</c:v>
                </c:pt>
                <c:pt idx="9">
                  <c:v>6800</c:v>
                </c:pt>
                <c:pt idx="10">
                  <c:v>7350</c:v>
                </c:pt>
                <c:pt idx="11">
                  <c:v>4550</c:v>
                </c:pt>
                <c:pt idx="12">
                  <c:v>2975</c:v>
                </c:pt>
                <c:pt idx="13">
                  <c:v>1950</c:v>
                </c:pt>
                <c:pt idx="14">
                  <c:v>5200</c:v>
                </c:pt>
                <c:pt idx="15">
                  <c:v>3250</c:v>
                </c:pt>
                <c:pt idx="16">
                  <c:v>1200</c:v>
                </c:pt>
                <c:pt idx="17">
                  <c:v>3925</c:v>
                </c:pt>
                <c:pt idx="18">
                  <c:v>9625</c:v>
                </c:pt>
                <c:pt idx="19">
                  <c:v>10125</c:v>
                </c:pt>
                <c:pt idx="20">
                  <c:v>5400</c:v>
                </c:pt>
                <c:pt idx="21">
                  <c:v>7800</c:v>
                </c:pt>
                <c:pt idx="22">
                  <c:v>3000</c:v>
                </c:pt>
                <c:pt idx="23">
                  <c:v>750</c:v>
                </c:pt>
                <c:pt idx="24">
                  <c:v>2550</c:v>
                </c:pt>
                <c:pt idx="25">
                  <c:v>2550</c:v>
                </c:pt>
                <c:pt idx="26">
                  <c:v>2125</c:v>
                </c:pt>
                <c:pt idx="27">
                  <c:v>4675</c:v>
                </c:pt>
                <c:pt idx="28">
                  <c:v>7250</c:v>
                </c:pt>
                <c:pt idx="29">
                  <c:v>4150</c:v>
                </c:pt>
                <c:pt idx="30">
                  <c:v>4575</c:v>
                </c:pt>
                <c:pt idx="31">
                  <c:v>4325</c:v>
                </c:pt>
                <c:pt idx="32">
                  <c:v>2600</c:v>
                </c:pt>
                <c:pt idx="33">
                  <c:v>3250</c:v>
                </c:pt>
                <c:pt idx="34">
                  <c:v>1050</c:v>
                </c:pt>
                <c:pt idx="35">
                  <c:v>1275</c:v>
                </c:pt>
                <c:pt idx="36">
                  <c:v>1275</c:v>
                </c:pt>
                <c:pt idx="37">
                  <c:v>6700</c:v>
                </c:pt>
                <c:pt idx="38">
                  <c:v>8475</c:v>
                </c:pt>
                <c:pt idx="39">
                  <c:v>2550</c:v>
                </c:pt>
                <c:pt idx="40">
                  <c:v>2550</c:v>
                </c:pt>
                <c:pt idx="41">
                  <c:v>1950</c:v>
                </c:pt>
                <c:pt idx="42">
                  <c:v>2600</c:v>
                </c:pt>
                <c:pt idx="43">
                  <c:v>4550</c:v>
                </c:pt>
                <c:pt idx="44">
                  <c:v>1700</c:v>
                </c:pt>
                <c:pt idx="45">
                  <c:v>1800</c:v>
                </c:pt>
                <c:pt idx="46">
                  <c:v>600</c:v>
                </c:pt>
                <c:pt idx="47">
                  <c:v>4675</c:v>
                </c:pt>
                <c:pt idx="48">
                  <c:v>1275</c:v>
                </c:pt>
                <c:pt idx="49">
                  <c:v>600</c:v>
                </c:pt>
                <c:pt idx="50">
                  <c:v>2600</c:v>
                </c:pt>
                <c:pt idx="51">
                  <c:v>3750</c:v>
                </c:pt>
                <c:pt idx="52">
                  <c:v>5950</c:v>
                </c:pt>
                <c:pt idx="53">
                  <c:v>7225</c:v>
                </c:pt>
                <c:pt idx="54">
                  <c:v>5600</c:v>
                </c:pt>
                <c:pt idx="55">
                  <c:v>900</c:v>
                </c:pt>
                <c:pt idx="56">
                  <c:v>2975</c:v>
                </c:pt>
                <c:pt idx="57">
                  <c:v>1700</c:v>
                </c:pt>
                <c:pt idx="58">
                  <c:v>2975</c:v>
                </c:pt>
                <c:pt idx="59">
                  <c:v>5400</c:v>
                </c:pt>
                <c:pt idx="60">
                  <c:v>8250</c:v>
                </c:pt>
                <c:pt idx="61">
                  <c:v>3675</c:v>
                </c:pt>
              </c:numCache>
            </c:numRef>
          </c:val>
          <c:smooth val="1"/>
          <c:extLst>
            <c:ext xmlns:c16="http://schemas.microsoft.com/office/drawing/2014/chart" uri="{C3380CC4-5D6E-409C-BE32-E72D297353CC}">
              <c16:uniqueId val="{00000001-7D2C-4AE9-B166-97236A8FC00B}"/>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206380320"/>
        <c:axId val="1206391552"/>
      </c:lineChart>
      <c:catAx>
        <c:axId val="1206380320"/>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en-US"/>
          </a:p>
        </c:txPr>
        <c:crossAx val="1206391552"/>
        <c:crosses val="autoZero"/>
        <c:auto val="1"/>
        <c:lblAlgn val="ctr"/>
        <c:lblOffset val="100"/>
        <c:noMultiLvlLbl val="0"/>
      </c:catAx>
      <c:valAx>
        <c:axId val="1206391552"/>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06380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[SalesDashboard_2_refreshmacro.xlsm]Faulty Products!PivotTable4</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19050">
            <a:solidFill>
              <a:schemeClr val="lt1"/>
            </a:solidFill>
          </a:ln>
          <a:effectLst/>
        </c:spPr>
      </c:pivotFmt>
      <c:pivotFmt>
        <c:idx val="9"/>
        <c:spPr>
          <a:solidFill>
            <a:srgbClr val="FF6600"/>
          </a:solidFill>
          <a:ln w="19050">
            <a:solidFill>
              <a:schemeClr val="lt1"/>
            </a:solidFill>
          </a:ln>
          <a:effectLst/>
        </c:spPr>
      </c:pivotFmt>
    </c:pivotFmts>
    <c:plotArea>
      <c:layout>
        <c:manualLayout>
          <c:layoutTarget val="inner"/>
          <c:xMode val="edge"/>
          <c:yMode val="edge"/>
          <c:x val="0.31847258971171116"/>
          <c:y val="3.9988349850830864E-2"/>
          <c:w val="0.53997488674239602"/>
          <c:h val="0.96001165014916912"/>
        </c:manualLayout>
      </c:layout>
      <c:doughnutChart>
        <c:varyColors val="1"/>
        <c:ser>
          <c:idx val="0"/>
          <c:order val="0"/>
          <c:tx>
            <c:strRef>
              <c:f>'Faulty Products'!$B$16</c:f>
              <c:strCache>
                <c:ptCount val="1"/>
                <c:pt idx="0">
                  <c:v>Total</c:v>
                </c:pt>
              </c:strCache>
            </c:strRef>
          </c:tx>
          <c:dPt>
            <c:idx val="0"/>
            <c:bubble3D val="0"/>
            <c:spPr>
              <a:solidFill>
                <a:srgbClr val="FF6600"/>
              </a:solidFill>
              <a:ln w="19050">
                <a:solidFill>
                  <a:schemeClr val="lt1"/>
                </a:solidFill>
              </a:ln>
              <a:effectLst/>
            </c:spPr>
            <c:extLst>
              <c:ext xmlns:c16="http://schemas.microsoft.com/office/drawing/2014/chart" uri="{C3380CC4-5D6E-409C-BE32-E72D297353CC}">
                <c16:uniqueId val="{00000001-4BF0-4025-8FF2-967C964882DF}"/>
              </c:ext>
            </c:extLst>
          </c:dPt>
          <c:dPt>
            <c:idx val="1"/>
            <c:bubble3D val="0"/>
            <c:spPr>
              <a:noFill/>
              <a:ln w="19050">
                <a:solidFill>
                  <a:schemeClr val="lt1"/>
                </a:solidFill>
              </a:ln>
              <a:effectLst/>
            </c:spPr>
            <c:extLst>
              <c:ext xmlns:c16="http://schemas.microsoft.com/office/drawing/2014/chart" uri="{C3380CC4-5D6E-409C-BE32-E72D297353CC}">
                <c16:uniqueId val="{00000003-4BF0-4025-8FF2-967C964882DF}"/>
              </c:ext>
            </c:extLst>
          </c:dPt>
          <c:cat>
            <c:strRef>
              <c:f>'Faulty Products'!$A$17:$A$19</c:f>
              <c:strCache>
                <c:ptCount val="2"/>
                <c:pt idx="0">
                  <c:v>Yes</c:v>
                </c:pt>
                <c:pt idx="1">
                  <c:v>No</c:v>
                </c:pt>
              </c:strCache>
            </c:strRef>
          </c:cat>
          <c:val>
            <c:numRef>
              <c:f>'Faulty Products'!$B$17:$B$19</c:f>
              <c:numCache>
                <c:formatCode>General</c:formatCode>
                <c:ptCount val="2"/>
                <c:pt idx="0">
                  <c:v>40</c:v>
                </c:pt>
                <c:pt idx="1">
                  <c:v>83</c:v>
                </c:pt>
              </c:numCache>
            </c:numRef>
          </c:val>
          <c:extLst>
            <c:ext xmlns:c16="http://schemas.microsoft.com/office/drawing/2014/chart" uri="{C3380CC4-5D6E-409C-BE32-E72D297353CC}">
              <c16:uniqueId val="{00000004-4BF0-4025-8FF2-967C964882DF}"/>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19050">
            <a:solidFill>
              <a:schemeClr val="lt1"/>
            </a:solidFill>
          </a:ln>
          <a:effectLst/>
        </c:spPr>
      </c:pivotFmt>
      <c:pivotFmt>
        <c:idx val="9"/>
        <c:spPr>
          <a:solidFill>
            <a:srgbClr val="FF6600"/>
          </a:solidFill>
          <a:ln w="19050">
            <a:solidFill>
              <a:schemeClr val="lt1"/>
            </a:solidFill>
          </a:ln>
          <a:effectLst/>
        </c:spPr>
      </c:pivotFmt>
    </c:pivotFmts>
    <c:plotArea>
      <c:layout>
        <c:manualLayout>
          <c:layoutTarget val="inner"/>
          <c:xMode val="edge"/>
          <c:yMode val="edge"/>
          <c:x val="0.19329358977477151"/>
          <c:y val="0"/>
          <c:w val="0.48747069002636662"/>
          <c:h val="0.95083887030784786"/>
        </c:manualLayout>
      </c:layout>
      <c:doughnutChart>
        <c:varyColors val="1"/>
        <c:ser>
          <c:idx val="0"/>
          <c:order val="0"/>
          <c:tx>
            <c:v>Total</c:v>
          </c:tx>
          <c:dPt>
            <c:idx val="0"/>
            <c:bubble3D val="0"/>
            <c:spPr>
              <a:solidFill>
                <a:srgbClr val="FF6600"/>
              </a:solidFill>
              <a:ln w="19050">
                <a:solidFill>
                  <a:schemeClr val="lt1"/>
                </a:solidFill>
              </a:ln>
              <a:effectLst/>
            </c:spPr>
            <c:extLst>
              <c:ext xmlns:c16="http://schemas.microsoft.com/office/drawing/2014/chart" uri="{C3380CC4-5D6E-409C-BE32-E72D297353CC}">
                <c16:uniqueId val="{00000001-7B69-4C61-9D4D-D83237755D47}"/>
              </c:ext>
            </c:extLst>
          </c:dPt>
          <c:dPt>
            <c:idx val="1"/>
            <c:bubble3D val="0"/>
            <c:spPr>
              <a:noFill/>
              <a:ln w="19050">
                <a:solidFill>
                  <a:schemeClr val="lt1"/>
                </a:solidFill>
              </a:ln>
              <a:effectLst/>
            </c:spPr>
            <c:extLst>
              <c:ext xmlns:c16="http://schemas.microsoft.com/office/drawing/2014/chart" uri="{C3380CC4-5D6E-409C-BE32-E72D297353CC}">
                <c16:uniqueId val="{00000003-7B69-4C61-9D4D-D83237755D47}"/>
              </c:ext>
            </c:extLst>
          </c:dPt>
          <c:cat>
            <c:strLit>
              <c:ptCount val="2"/>
              <c:pt idx="0">
                <c:v>Yes</c:v>
              </c:pt>
              <c:pt idx="1">
                <c:v>No</c:v>
              </c:pt>
            </c:strLit>
          </c:cat>
          <c:val>
            <c:numLit>
              <c:formatCode>General</c:formatCode>
              <c:ptCount val="2"/>
              <c:pt idx="0">
                <c:v>12</c:v>
              </c:pt>
              <c:pt idx="1">
                <c:v>31</c:v>
              </c:pt>
            </c:numLit>
          </c:val>
          <c:extLst>
            <c:ext xmlns:c16="http://schemas.microsoft.com/office/drawing/2014/chart" uri="{C3380CC4-5D6E-409C-BE32-E72D297353CC}">
              <c16:uniqueId val="{00000004-7B69-4C61-9D4D-D83237755D47}"/>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19050">
            <a:solidFill>
              <a:schemeClr val="lt1"/>
            </a:solidFill>
          </a:ln>
          <a:effectLst/>
        </c:spPr>
      </c:pivotFmt>
      <c:pivotFmt>
        <c:idx val="9"/>
        <c:spPr>
          <a:solidFill>
            <a:srgbClr val="FF6600"/>
          </a:solidFill>
          <a:ln w="19050">
            <a:solidFill>
              <a:schemeClr val="lt1"/>
            </a:solidFill>
          </a:ln>
          <a:effectLst/>
        </c:spPr>
      </c:pivotFmt>
    </c:pivotFmts>
    <c:plotArea>
      <c:layout>
        <c:manualLayout>
          <c:layoutTarget val="inner"/>
          <c:xMode val="edge"/>
          <c:yMode val="edge"/>
          <c:x val="0.20155501280499841"/>
          <c:y val="6.3497618839293529E-2"/>
          <c:w val="0.48866936900969071"/>
          <c:h val="0.91999716677291266"/>
        </c:manualLayout>
      </c:layout>
      <c:doughnutChart>
        <c:varyColors val="1"/>
        <c:ser>
          <c:idx val="0"/>
          <c:order val="0"/>
          <c:tx>
            <c:v>Series1</c:v>
          </c:tx>
          <c:dPt>
            <c:idx val="0"/>
            <c:bubble3D val="0"/>
            <c:spPr>
              <a:solidFill>
                <a:srgbClr val="FF6600"/>
              </a:solidFill>
              <a:ln w="19050">
                <a:solidFill>
                  <a:schemeClr val="lt1"/>
                </a:solidFill>
              </a:ln>
              <a:effectLst/>
            </c:spPr>
            <c:extLst>
              <c:ext xmlns:c16="http://schemas.microsoft.com/office/drawing/2014/chart" uri="{C3380CC4-5D6E-409C-BE32-E72D297353CC}">
                <c16:uniqueId val="{00000001-6188-4300-B3D7-394AA1E1F9AD}"/>
              </c:ext>
            </c:extLst>
          </c:dPt>
          <c:dPt>
            <c:idx val="1"/>
            <c:bubble3D val="0"/>
            <c:spPr>
              <a:noFill/>
              <a:ln w="19050">
                <a:solidFill>
                  <a:schemeClr val="lt1"/>
                </a:solidFill>
              </a:ln>
              <a:effectLst/>
            </c:spPr>
            <c:extLst>
              <c:ext xmlns:c16="http://schemas.microsoft.com/office/drawing/2014/chart" uri="{C3380CC4-5D6E-409C-BE32-E72D297353CC}">
                <c16:uniqueId val="{00000003-6188-4300-B3D7-394AA1E1F9AD}"/>
              </c:ext>
            </c:extLst>
          </c:dPt>
          <c:cat>
            <c:strLit>
              <c:ptCount val="2"/>
              <c:pt idx="0">
                <c:v>Yes</c:v>
              </c:pt>
              <c:pt idx="1">
                <c:v>No</c:v>
              </c:pt>
            </c:strLit>
          </c:cat>
          <c:val>
            <c:numLit>
              <c:formatCode>General</c:formatCode>
              <c:ptCount val="2"/>
              <c:pt idx="0">
                <c:v>12</c:v>
              </c:pt>
              <c:pt idx="1">
                <c:v>31</c:v>
              </c:pt>
            </c:numLit>
          </c:val>
          <c:extLst>
            <c:ext xmlns:c16="http://schemas.microsoft.com/office/drawing/2014/chart" uri="{C3380CC4-5D6E-409C-BE32-E72D297353CC}">
              <c16:uniqueId val="{00000004-6188-4300-B3D7-394AA1E1F9AD}"/>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19050">
            <a:solidFill>
              <a:schemeClr val="lt1"/>
            </a:solidFill>
          </a:ln>
          <a:effectLst/>
        </c:spPr>
      </c:pivotFmt>
      <c:pivotFmt>
        <c:idx val="9"/>
        <c:spPr>
          <a:solidFill>
            <a:srgbClr val="FF6600"/>
          </a:solidFill>
          <a:ln w="19050">
            <a:solidFill>
              <a:schemeClr val="lt1"/>
            </a:solidFill>
          </a:ln>
          <a:effectLst/>
        </c:spPr>
      </c:pivotFmt>
    </c:pivotFmts>
    <c:plotArea>
      <c:layout>
        <c:manualLayout>
          <c:layoutTarget val="inner"/>
          <c:xMode val="edge"/>
          <c:yMode val="edge"/>
          <c:x val="0.219668412113495"/>
          <c:y val="0"/>
          <c:w val="0.55012803749050543"/>
          <c:h val="0.94832933579784351"/>
        </c:manualLayout>
      </c:layout>
      <c:doughnutChart>
        <c:varyColors val="1"/>
        <c:ser>
          <c:idx val="0"/>
          <c:order val="0"/>
          <c:tx>
            <c:v>Series1</c:v>
          </c:tx>
          <c:dPt>
            <c:idx val="0"/>
            <c:bubble3D val="0"/>
            <c:spPr>
              <a:solidFill>
                <a:srgbClr val="FF6600"/>
              </a:solidFill>
              <a:ln w="19050">
                <a:solidFill>
                  <a:schemeClr val="lt1"/>
                </a:solidFill>
              </a:ln>
              <a:effectLst/>
            </c:spPr>
            <c:extLst>
              <c:ext xmlns:c16="http://schemas.microsoft.com/office/drawing/2014/chart" uri="{C3380CC4-5D6E-409C-BE32-E72D297353CC}">
                <c16:uniqueId val="{00000001-7482-4682-AE04-426537661239}"/>
              </c:ext>
            </c:extLst>
          </c:dPt>
          <c:dPt>
            <c:idx val="1"/>
            <c:bubble3D val="0"/>
            <c:spPr>
              <a:noFill/>
              <a:ln w="19050">
                <a:solidFill>
                  <a:schemeClr val="lt1"/>
                </a:solidFill>
              </a:ln>
              <a:effectLst/>
            </c:spPr>
            <c:extLst>
              <c:ext xmlns:c16="http://schemas.microsoft.com/office/drawing/2014/chart" uri="{C3380CC4-5D6E-409C-BE32-E72D297353CC}">
                <c16:uniqueId val="{00000003-7482-4682-AE04-426537661239}"/>
              </c:ext>
            </c:extLst>
          </c:dPt>
          <c:cat>
            <c:numLit>
              <c:formatCode>General</c:formatCode>
              <c:ptCount val="2"/>
              <c:pt idx="0">
                <c:v>0</c:v>
              </c:pt>
              <c:pt idx="1">
                <c:v>0</c:v>
              </c:pt>
            </c:numLit>
          </c:cat>
          <c:val>
            <c:numLit>
              <c:formatCode>General</c:formatCode>
              <c:ptCount val="2"/>
              <c:pt idx="0">
                <c:v>9</c:v>
              </c:pt>
              <c:pt idx="1">
                <c:v>15</c:v>
              </c:pt>
            </c:numLit>
          </c:val>
          <c:extLst>
            <c:ext xmlns:c16="http://schemas.microsoft.com/office/drawing/2014/chart" uri="{C3380CC4-5D6E-409C-BE32-E72D297353CC}">
              <c16:uniqueId val="{00000004-7482-4682-AE04-426537661239}"/>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[SalesDashboard_2_refreshmacro.xlsm]Product Ratings!PivotTable8</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a:gsLst>
              <a:gs pos="0">
                <a:srgbClr val="00B050">
                  <a:alpha val="87000"/>
                </a:srgbClr>
              </a:gs>
              <a:gs pos="94000">
                <a:srgbClr val="92D050"/>
              </a:gs>
            </a:gsLst>
            <a:lin ang="2700000" scaled="1"/>
          </a:gra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flip="none" rotWithShape="1">
            <a:gsLst>
              <a:gs pos="0">
                <a:srgbClr val="FF6600">
                  <a:alpha val="50000"/>
                </a:srgbClr>
              </a:gs>
              <a:gs pos="100000">
                <a:srgbClr val="E80E0E"/>
              </a:gs>
            </a:gsLst>
            <a:lin ang="2700000" scaled="1"/>
            <a:tileRect/>
          </a:gra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flip="none" rotWithShape="1">
            <a:gsLst>
              <a:gs pos="0">
                <a:srgbClr val="FF6600"/>
              </a:gs>
              <a:gs pos="98000">
                <a:srgbClr val="F99595"/>
              </a:gs>
            </a:gsLst>
            <a:lin ang="2700000" scaled="1"/>
            <a:tileRect/>
          </a:gra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flip="none" rotWithShape="1">
            <a:gsLst>
              <a:gs pos="0">
                <a:schemeClr val="bg1"/>
              </a:gs>
              <a:gs pos="80000">
                <a:schemeClr val="bg2">
                  <a:lumMod val="75000"/>
                </a:schemeClr>
              </a:gs>
            </a:gsLst>
            <a:lin ang="2700000" scaled="1"/>
            <a:tileRect/>
          </a:gra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flip="none" rotWithShape="1">
            <a:gsLst>
              <a:gs pos="0">
                <a:schemeClr val="bg1">
                  <a:lumMod val="95000"/>
                </a:schemeClr>
              </a:gs>
              <a:gs pos="89000">
                <a:srgbClr val="00B050"/>
              </a:gs>
            </a:gsLst>
            <a:lin ang="2700000" scaled="1"/>
            <a:tileRect/>
          </a:gra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'Product Ratings'!$B$2:$B$3</c:f>
              <c:strCache>
                <c:ptCount val="1"/>
                <c:pt idx="0">
                  <c:v>1 Star</c:v>
                </c:pt>
              </c:strCache>
            </c:strRef>
          </c:tx>
          <c:spPr>
            <a:gradFill flip="none" rotWithShape="1">
              <a:gsLst>
                <a:gs pos="0">
                  <a:srgbClr val="FF6600">
                    <a:alpha val="50000"/>
                  </a:srgbClr>
                </a:gs>
                <a:gs pos="100000">
                  <a:srgbClr val="E80E0E"/>
                </a:gs>
              </a:gsLst>
              <a:lin ang="2700000" scaled="1"/>
              <a:tileRect/>
            </a:gradFill>
            <a:ln>
              <a:solidFill>
                <a:schemeClr val="bg1"/>
              </a:solidFill>
            </a:ln>
            <a:effectLst/>
          </c:spPr>
          <c:invertIfNegative val="0"/>
          <c:cat>
            <c:strRef>
              <c:f>'Product Ratings'!$A$4:$A$8</c:f>
              <c:strCache>
                <c:ptCount val="4"/>
                <c:pt idx="0">
                  <c:v>Computer</c:v>
                </c:pt>
                <c:pt idx="1">
                  <c:v>Laptop</c:v>
                </c:pt>
                <c:pt idx="2">
                  <c:v>Phone</c:v>
                </c:pt>
                <c:pt idx="3">
                  <c:v>Screen</c:v>
                </c:pt>
              </c:strCache>
            </c:strRef>
          </c:cat>
          <c:val>
            <c:numRef>
              <c:f>'Product Ratings'!$B$4:$B$8</c:f>
              <c:numCache>
                <c:formatCode>"$"#,##0</c:formatCode>
                <c:ptCount val="4"/>
                <c:pt idx="0">
                  <c:v>5950</c:v>
                </c:pt>
                <c:pt idx="1">
                  <c:v>4550</c:v>
                </c:pt>
                <c:pt idx="2">
                  <c:v>3450</c:v>
                </c:pt>
                <c:pt idx="3">
                  <c:v>600</c:v>
                </c:pt>
              </c:numCache>
            </c:numRef>
          </c:val>
          <c:extLst>
            <c:ext xmlns:c16="http://schemas.microsoft.com/office/drawing/2014/chart" uri="{C3380CC4-5D6E-409C-BE32-E72D297353CC}">
              <c16:uniqueId val="{00000000-0F85-4C13-BB06-6C50AAFD471D}"/>
            </c:ext>
          </c:extLst>
        </c:ser>
        <c:ser>
          <c:idx val="1"/>
          <c:order val="1"/>
          <c:tx>
            <c:strRef>
              <c:f>'Product Ratings'!$C$2:$C$3</c:f>
              <c:strCache>
                <c:ptCount val="1"/>
                <c:pt idx="0">
                  <c:v>2 Stars</c:v>
                </c:pt>
              </c:strCache>
            </c:strRef>
          </c:tx>
          <c:spPr>
            <a:gradFill flip="none" rotWithShape="1">
              <a:gsLst>
                <a:gs pos="0">
                  <a:srgbClr val="FF6600"/>
                </a:gs>
                <a:gs pos="98000">
                  <a:srgbClr val="F99595"/>
                </a:gs>
              </a:gsLst>
              <a:lin ang="2700000" scaled="1"/>
              <a:tileRect/>
            </a:gradFill>
            <a:ln>
              <a:solidFill>
                <a:schemeClr val="bg1"/>
              </a:solidFill>
            </a:ln>
            <a:effectLst/>
          </c:spPr>
          <c:invertIfNegative val="0"/>
          <c:cat>
            <c:strRef>
              <c:f>'Product Ratings'!$A$4:$A$8</c:f>
              <c:strCache>
                <c:ptCount val="4"/>
                <c:pt idx="0">
                  <c:v>Computer</c:v>
                </c:pt>
                <c:pt idx="1">
                  <c:v>Laptop</c:v>
                </c:pt>
                <c:pt idx="2">
                  <c:v>Phone</c:v>
                </c:pt>
                <c:pt idx="3">
                  <c:v>Screen</c:v>
                </c:pt>
              </c:strCache>
            </c:strRef>
          </c:cat>
          <c:val>
            <c:numRef>
              <c:f>'Product Ratings'!$C$4:$C$8</c:f>
              <c:numCache>
                <c:formatCode>"$"#,##0</c:formatCode>
                <c:ptCount val="4"/>
                <c:pt idx="0">
                  <c:v>11475</c:v>
                </c:pt>
                <c:pt idx="1">
                  <c:v>13000</c:v>
                </c:pt>
                <c:pt idx="2">
                  <c:v>2700</c:v>
                </c:pt>
                <c:pt idx="3">
                  <c:v>1350</c:v>
                </c:pt>
              </c:numCache>
            </c:numRef>
          </c:val>
          <c:extLst>
            <c:ext xmlns:c16="http://schemas.microsoft.com/office/drawing/2014/chart" uri="{C3380CC4-5D6E-409C-BE32-E72D297353CC}">
              <c16:uniqueId val="{0000000E-0F85-4C13-BB06-6C50AAFD471D}"/>
            </c:ext>
          </c:extLst>
        </c:ser>
        <c:ser>
          <c:idx val="2"/>
          <c:order val="2"/>
          <c:tx>
            <c:strRef>
              <c:f>'Product Ratings'!$D$2:$D$3</c:f>
              <c:strCache>
                <c:ptCount val="1"/>
                <c:pt idx="0">
                  <c:v>3 Stars</c:v>
                </c:pt>
              </c:strCache>
            </c:strRef>
          </c:tx>
          <c:spPr>
            <a:gradFill flip="none" rotWithShape="1">
              <a:gsLst>
                <a:gs pos="0">
                  <a:schemeClr val="bg1"/>
                </a:gs>
                <a:gs pos="80000">
                  <a:schemeClr val="bg2">
                    <a:lumMod val="75000"/>
                  </a:schemeClr>
                </a:gs>
              </a:gsLst>
              <a:lin ang="2700000" scaled="1"/>
              <a:tileRect/>
            </a:gradFill>
            <a:ln>
              <a:solidFill>
                <a:schemeClr val="bg1"/>
              </a:solidFill>
            </a:ln>
            <a:effectLst/>
          </c:spPr>
          <c:invertIfNegative val="0"/>
          <c:cat>
            <c:strRef>
              <c:f>'Product Ratings'!$A$4:$A$8</c:f>
              <c:strCache>
                <c:ptCount val="4"/>
                <c:pt idx="0">
                  <c:v>Computer</c:v>
                </c:pt>
                <c:pt idx="1">
                  <c:v>Laptop</c:v>
                </c:pt>
                <c:pt idx="2">
                  <c:v>Phone</c:v>
                </c:pt>
                <c:pt idx="3">
                  <c:v>Screen</c:v>
                </c:pt>
              </c:strCache>
            </c:strRef>
          </c:cat>
          <c:val>
            <c:numRef>
              <c:f>'Product Ratings'!$D$4:$D$8</c:f>
              <c:numCache>
                <c:formatCode>"$"#,##0</c:formatCode>
                <c:ptCount val="4"/>
                <c:pt idx="0">
                  <c:v>22100</c:v>
                </c:pt>
                <c:pt idx="1">
                  <c:v>18850</c:v>
                </c:pt>
                <c:pt idx="2">
                  <c:v>4500</c:v>
                </c:pt>
                <c:pt idx="3">
                  <c:v>4050</c:v>
                </c:pt>
              </c:numCache>
            </c:numRef>
          </c:val>
          <c:extLst>
            <c:ext xmlns:c16="http://schemas.microsoft.com/office/drawing/2014/chart" uri="{C3380CC4-5D6E-409C-BE32-E72D297353CC}">
              <c16:uniqueId val="{0000000F-0F85-4C13-BB06-6C50AAFD471D}"/>
            </c:ext>
          </c:extLst>
        </c:ser>
        <c:ser>
          <c:idx val="3"/>
          <c:order val="3"/>
          <c:tx>
            <c:strRef>
              <c:f>'Product Ratings'!$E$2:$E$3</c:f>
              <c:strCache>
                <c:ptCount val="1"/>
                <c:pt idx="0">
                  <c:v>4 Stars</c:v>
                </c:pt>
              </c:strCache>
            </c:strRef>
          </c:tx>
          <c:spPr>
            <a:gradFill flip="none" rotWithShape="1">
              <a:gsLst>
                <a:gs pos="0">
                  <a:schemeClr val="bg1">
                    <a:lumMod val="95000"/>
                  </a:schemeClr>
                </a:gs>
                <a:gs pos="89000">
                  <a:srgbClr val="00B050"/>
                </a:gs>
              </a:gsLst>
              <a:lin ang="2700000" scaled="1"/>
              <a:tileRect/>
            </a:gradFill>
            <a:ln>
              <a:solidFill>
                <a:schemeClr val="bg1"/>
              </a:solidFill>
            </a:ln>
            <a:effectLst/>
          </c:spPr>
          <c:invertIfNegative val="0"/>
          <c:cat>
            <c:strRef>
              <c:f>'Product Ratings'!$A$4:$A$8</c:f>
              <c:strCache>
                <c:ptCount val="4"/>
                <c:pt idx="0">
                  <c:v>Computer</c:v>
                </c:pt>
                <c:pt idx="1">
                  <c:v>Laptop</c:v>
                </c:pt>
                <c:pt idx="2">
                  <c:v>Phone</c:v>
                </c:pt>
                <c:pt idx="3">
                  <c:v>Screen</c:v>
                </c:pt>
              </c:strCache>
            </c:strRef>
          </c:cat>
          <c:val>
            <c:numRef>
              <c:f>'Product Ratings'!$E$4:$E$8</c:f>
              <c:numCache>
                <c:formatCode>"$"#,##0</c:formatCode>
                <c:ptCount val="4"/>
                <c:pt idx="0">
                  <c:v>20825</c:v>
                </c:pt>
                <c:pt idx="1">
                  <c:v>32500</c:v>
                </c:pt>
                <c:pt idx="2">
                  <c:v>3600</c:v>
                </c:pt>
                <c:pt idx="3">
                  <c:v>5250</c:v>
                </c:pt>
              </c:numCache>
            </c:numRef>
          </c:val>
          <c:extLst>
            <c:ext xmlns:c16="http://schemas.microsoft.com/office/drawing/2014/chart" uri="{C3380CC4-5D6E-409C-BE32-E72D297353CC}">
              <c16:uniqueId val="{00000012-0F85-4C13-BB06-6C50AAFD471D}"/>
            </c:ext>
          </c:extLst>
        </c:ser>
        <c:ser>
          <c:idx val="4"/>
          <c:order val="4"/>
          <c:tx>
            <c:strRef>
              <c:f>'Product Ratings'!$F$2:$F$3</c:f>
              <c:strCache>
                <c:ptCount val="1"/>
                <c:pt idx="0">
                  <c:v>5 Stars</c:v>
                </c:pt>
              </c:strCache>
            </c:strRef>
          </c:tx>
          <c:spPr>
            <a:gradFill>
              <a:gsLst>
                <a:gs pos="0">
                  <a:srgbClr val="00B050">
                    <a:alpha val="87000"/>
                  </a:srgbClr>
                </a:gs>
                <a:gs pos="94000">
                  <a:srgbClr val="92D050"/>
                </a:gs>
              </a:gsLst>
              <a:lin ang="2700000" scaled="1"/>
            </a:gradFill>
            <a:ln>
              <a:solidFill>
                <a:schemeClr val="bg1"/>
              </a:solidFill>
            </a:ln>
            <a:effectLst/>
          </c:spPr>
          <c:invertIfNegative val="0"/>
          <c:cat>
            <c:strRef>
              <c:f>'Product Ratings'!$A$4:$A$8</c:f>
              <c:strCache>
                <c:ptCount val="4"/>
                <c:pt idx="0">
                  <c:v>Computer</c:v>
                </c:pt>
                <c:pt idx="1">
                  <c:v>Laptop</c:v>
                </c:pt>
                <c:pt idx="2">
                  <c:v>Phone</c:v>
                </c:pt>
                <c:pt idx="3">
                  <c:v>Screen</c:v>
                </c:pt>
              </c:strCache>
            </c:strRef>
          </c:cat>
          <c:val>
            <c:numRef>
              <c:f>'Product Ratings'!$F$4:$F$8</c:f>
              <c:numCache>
                <c:formatCode>"$"#,##0</c:formatCode>
                <c:ptCount val="4"/>
                <c:pt idx="0">
                  <c:v>33150</c:v>
                </c:pt>
                <c:pt idx="1">
                  <c:v>29900</c:v>
                </c:pt>
                <c:pt idx="2">
                  <c:v>16800</c:v>
                </c:pt>
                <c:pt idx="3">
                  <c:v>6750</c:v>
                </c:pt>
              </c:numCache>
            </c:numRef>
          </c:val>
          <c:extLst>
            <c:ext xmlns:c16="http://schemas.microsoft.com/office/drawing/2014/chart" uri="{C3380CC4-5D6E-409C-BE32-E72D297353CC}">
              <c16:uniqueId val="{00000002-170E-4B27-9EEC-9D81B75E4331}"/>
            </c:ext>
          </c:extLst>
        </c:ser>
        <c:dLbls>
          <c:showLegendKey val="0"/>
          <c:showVal val="0"/>
          <c:showCatName val="0"/>
          <c:showSerName val="0"/>
          <c:showPercent val="0"/>
          <c:showBubbleSize val="0"/>
        </c:dLbls>
        <c:gapWidth val="150"/>
        <c:overlap val="100"/>
        <c:axId val="598452080"/>
        <c:axId val="598464560"/>
      </c:barChart>
      <c:catAx>
        <c:axId val="5984520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98464560"/>
        <c:crosses val="autoZero"/>
        <c:auto val="1"/>
        <c:lblAlgn val="ctr"/>
        <c:lblOffset val="100"/>
        <c:noMultiLvlLbl val="0"/>
      </c:catAx>
      <c:valAx>
        <c:axId val="598464560"/>
        <c:scaling>
          <c:orientation val="minMax"/>
        </c:scaling>
        <c:delete val="0"/>
        <c:axPos val="b"/>
        <c:majorGridlines>
          <c:spPr>
            <a:ln w="9525" cap="flat" cmpd="sng" algn="ctr">
              <a:solidFill>
                <a:schemeClr val="lt1">
                  <a:shade val="50000"/>
                  <a:alpha val="6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98452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[SalesDashboard_2_refreshmacro.xlsm]Product Ratings!PivotTable8</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'Product Ratings'!$B$2:$B$3</c:f>
              <c:strCache>
                <c:ptCount val="1"/>
                <c:pt idx="0">
                  <c:v>1 Star</c:v>
                </c:pt>
              </c:strCache>
            </c:strRef>
          </c:tx>
          <c:spPr>
            <a:solidFill>
              <a:schemeClr val="accent1"/>
            </a:solidFill>
            <a:ln>
              <a:noFill/>
            </a:ln>
            <a:effectLst/>
          </c:spPr>
          <c:invertIfNegative val="0"/>
          <c:cat>
            <c:strRef>
              <c:f>'Product Ratings'!$A$4:$A$8</c:f>
              <c:strCache>
                <c:ptCount val="4"/>
                <c:pt idx="0">
                  <c:v>Computer</c:v>
                </c:pt>
                <c:pt idx="1">
                  <c:v>Laptop</c:v>
                </c:pt>
                <c:pt idx="2">
                  <c:v>Phone</c:v>
                </c:pt>
                <c:pt idx="3">
                  <c:v>Screen</c:v>
                </c:pt>
              </c:strCache>
            </c:strRef>
          </c:cat>
          <c:val>
            <c:numRef>
              <c:f>'Product Ratings'!$B$4:$B$8</c:f>
              <c:numCache>
                <c:formatCode>"$"#,##0</c:formatCode>
                <c:ptCount val="4"/>
                <c:pt idx="0">
                  <c:v>5950</c:v>
                </c:pt>
                <c:pt idx="1">
                  <c:v>4550</c:v>
                </c:pt>
                <c:pt idx="2">
                  <c:v>3450</c:v>
                </c:pt>
                <c:pt idx="3">
                  <c:v>600</c:v>
                </c:pt>
              </c:numCache>
            </c:numRef>
          </c:val>
          <c:extLst>
            <c:ext xmlns:c16="http://schemas.microsoft.com/office/drawing/2014/chart" uri="{C3380CC4-5D6E-409C-BE32-E72D297353CC}">
              <c16:uniqueId val="{00000000-8990-47F2-BDBA-03E467B07C90}"/>
            </c:ext>
          </c:extLst>
        </c:ser>
        <c:ser>
          <c:idx val="1"/>
          <c:order val="1"/>
          <c:tx>
            <c:strRef>
              <c:f>'Product Ratings'!$C$2:$C$3</c:f>
              <c:strCache>
                <c:ptCount val="1"/>
                <c:pt idx="0">
                  <c:v>2 Stars</c:v>
                </c:pt>
              </c:strCache>
            </c:strRef>
          </c:tx>
          <c:spPr>
            <a:solidFill>
              <a:schemeClr val="accent2"/>
            </a:solidFill>
            <a:ln>
              <a:noFill/>
            </a:ln>
            <a:effectLst/>
          </c:spPr>
          <c:invertIfNegative val="0"/>
          <c:cat>
            <c:strRef>
              <c:f>'Product Ratings'!$A$4:$A$8</c:f>
              <c:strCache>
                <c:ptCount val="4"/>
                <c:pt idx="0">
                  <c:v>Computer</c:v>
                </c:pt>
                <c:pt idx="1">
                  <c:v>Laptop</c:v>
                </c:pt>
                <c:pt idx="2">
                  <c:v>Phone</c:v>
                </c:pt>
                <c:pt idx="3">
                  <c:v>Screen</c:v>
                </c:pt>
              </c:strCache>
            </c:strRef>
          </c:cat>
          <c:val>
            <c:numRef>
              <c:f>'Product Ratings'!$C$4:$C$8</c:f>
              <c:numCache>
                <c:formatCode>"$"#,##0</c:formatCode>
                <c:ptCount val="4"/>
                <c:pt idx="0">
                  <c:v>11475</c:v>
                </c:pt>
                <c:pt idx="1">
                  <c:v>13000</c:v>
                </c:pt>
                <c:pt idx="2">
                  <c:v>2700</c:v>
                </c:pt>
                <c:pt idx="3">
                  <c:v>1350</c:v>
                </c:pt>
              </c:numCache>
            </c:numRef>
          </c:val>
          <c:extLst>
            <c:ext xmlns:c16="http://schemas.microsoft.com/office/drawing/2014/chart" uri="{C3380CC4-5D6E-409C-BE32-E72D297353CC}">
              <c16:uniqueId val="{0000000A-8990-47F2-BDBA-03E467B07C90}"/>
            </c:ext>
          </c:extLst>
        </c:ser>
        <c:ser>
          <c:idx val="2"/>
          <c:order val="2"/>
          <c:tx>
            <c:strRef>
              <c:f>'Product Ratings'!$D$2:$D$3</c:f>
              <c:strCache>
                <c:ptCount val="1"/>
                <c:pt idx="0">
                  <c:v>3 Stars</c:v>
                </c:pt>
              </c:strCache>
            </c:strRef>
          </c:tx>
          <c:spPr>
            <a:solidFill>
              <a:schemeClr val="accent3"/>
            </a:solidFill>
            <a:ln>
              <a:noFill/>
            </a:ln>
            <a:effectLst/>
          </c:spPr>
          <c:invertIfNegative val="0"/>
          <c:cat>
            <c:strRef>
              <c:f>'Product Ratings'!$A$4:$A$8</c:f>
              <c:strCache>
                <c:ptCount val="4"/>
                <c:pt idx="0">
                  <c:v>Computer</c:v>
                </c:pt>
                <c:pt idx="1">
                  <c:v>Laptop</c:v>
                </c:pt>
                <c:pt idx="2">
                  <c:v>Phone</c:v>
                </c:pt>
                <c:pt idx="3">
                  <c:v>Screen</c:v>
                </c:pt>
              </c:strCache>
            </c:strRef>
          </c:cat>
          <c:val>
            <c:numRef>
              <c:f>'Product Ratings'!$D$4:$D$8</c:f>
              <c:numCache>
                <c:formatCode>"$"#,##0</c:formatCode>
                <c:ptCount val="4"/>
                <c:pt idx="0">
                  <c:v>22100</c:v>
                </c:pt>
                <c:pt idx="1">
                  <c:v>18850</c:v>
                </c:pt>
                <c:pt idx="2">
                  <c:v>4500</c:v>
                </c:pt>
                <c:pt idx="3">
                  <c:v>4050</c:v>
                </c:pt>
              </c:numCache>
            </c:numRef>
          </c:val>
          <c:extLst>
            <c:ext xmlns:c16="http://schemas.microsoft.com/office/drawing/2014/chart" uri="{C3380CC4-5D6E-409C-BE32-E72D297353CC}">
              <c16:uniqueId val="{0000000B-8990-47F2-BDBA-03E467B07C90}"/>
            </c:ext>
          </c:extLst>
        </c:ser>
        <c:ser>
          <c:idx val="3"/>
          <c:order val="3"/>
          <c:tx>
            <c:strRef>
              <c:f>'Product Ratings'!$E$2:$E$3</c:f>
              <c:strCache>
                <c:ptCount val="1"/>
                <c:pt idx="0">
                  <c:v>4 Stars</c:v>
                </c:pt>
              </c:strCache>
            </c:strRef>
          </c:tx>
          <c:spPr>
            <a:solidFill>
              <a:schemeClr val="accent4"/>
            </a:solidFill>
            <a:ln>
              <a:noFill/>
            </a:ln>
            <a:effectLst/>
          </c:spPr>
          <c:invertIfNegative val="0"/>
          <c:cat>
            <c:strRef>
              <c:f>'Product Ratings'!$A$4:$A$8</c:f>
              <c:strCache>
                <c:ptCount val="4"/>
                <c:pt idx="0">
                  <c:v>Computer</c:v>
                </c:pt>
                <c:pt idx="1">
                  <c:v>Laptop</c:v>
                </c:pt>
                <c:pt idx="2">
                  <c:v>Phone</c:v>
                </c:pt>
                <c:pt idx="3">
                  <c:v>Screen</c:v>
                </c:pt>
              </c:strCache>
            </c:strRef>
          </c:cat>
          <c:val>
            <c:numRef>
              <c:f>'Product Ratings'!$E$4:$E$8</c:f>
              <c:numCache>
                <c:formatCode>"$"#,##0</c:formatCode>
                <c:ptCount val="4"/>
                <c:pt idx="0">
                  <c:v>20825</c:v>
                </c:pt>
                <c:pt idx="1">
                  <c:v>32500</c:v>
                </c:pt>
                <c:pt idx="2">
                  <c:v>3600</c:v>
                </c:pt>
                <c:pt idx="3">
                  <c:v>5250</c:v>
                </c:pt>
              </c:numCache>
            </c:numRef>
          </c:val>
          <c:extLst>
            <c:ext xmlns:c16="http://schemas.microsoft.com/office/drawing/2014/chart" uri="{C3380CC4-5D6E-409C-BE32-E72D297353CC}">
              <c16:uniqueId val="{0000000E-8990-47F2-BDBA-03E467B07C90}"/>
            </c:ext>
          </c:extLst>
        </c:ser>
        <c:ser>
          <c:idx val="4"/>
          <c:order val="4"/>
          <c:tx>
            <c:strRef>
              <c:f>'Product Ratings'!$F$2:$F$3</c:f>
              <c:strCache>
                <c:ptCount val="1"/>
                <c:pt idx="0">
                  <c:v>5 Stars</c:v>
                </c:pt>
              </c:strCache>
            </c:strRef>
          </c:tx>
          <c:spPr>
            <a:solidFill>
              <a:schemeClr val="accent5"/>
            </a:solidFill>
            <a:ln>
              <a:noFill/>
            </a:ln>
            <a:effectLst/>
          </c:spPr>
          <c:invertIfNegative val="0"/>
          <c:cat>
            <c:strRef>
              <c:f>'Product Ratings'!$A$4:$A$8</c:f>
              <c:strCache>
                <c:ptCount val="4"/>
                <c:pt idx="0">
                  <c:v>Computer</c:v>
                </c:pt>
                <c:pt idx="1">
                  <c:v>Laptop</c:v>
                </c:pt>
                <c:pt idx="2">
                  <c:v>Phone</c:v>
                </c:pt>
                <c:pt idx="3">
                  <c:v>Screen</c:v>
                </c:pt>
              </c:strCache>
            </c:strRef>
          </c:cat>
          <c:val>
            <c:numRef>
              <c:f>'Product Ratings'!$F$4:$F$8</c:f>
              <c:numCache>
                <c:formatCode>"$"#,##0</c:formatCode>
                <c:ptCount val="4"/>
                <c:pt idx="0">
                  <c:v>33150</c:v>
                </c:pt>
                <c:pt idx="1">
                  <c:v>29900</c:v>
                </c:pt>
                <c:pt idx="2">
                  <c:v>16800</c:v>
                </c:pt>
                <c:pt idx="3">
                  <c:v>6750</c:v>
                </c:pt>
              </c:numCache>
            </c:numRef>
          </c:val>
          <c:extLst>
            <c:ext xmlns:c16="http://schemas.microsoft.com/office/drawing/2014/chart" uri="{C3380CC4-5D6E-409C-BE32-E72D297353CC}">
              <c16:uniqueId val="{00000002-10C7-45C9-8383-5157406AF1AD}"/>
            </c:ext>
          </c:extLst>
        </c:ser>
        <c:dLbls>
          <c:showLegendKey val="0"/>
          <c:showVal val="0"/>
          <c:showCatName val="0"/>
          <c:showSerName val="0"/>
          <c:showPercent val="0"/>
          <c:showBubbleSize val="0"/>
        </c:dLbls>
        <c:gapWidth val="150"/>
        <c:overlap val="100"/>
        <c:axId val="598452080"/>
        <c:axId val="598464560"/>
      </c:barChart>
      <c:catAx>
        <c:axId val="5984520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464560"/>
        <c:crosses val="autoZero"/>
        <c:auto val="1"/>
        <c:lblAlgn val="ctr"/>
        <c:lblOffset val="100"/>
        <c:noMultiLvlLbl val="0"/>
      </c:catAx>
      <c:valAx>
        <c:axId val="59846456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452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[SalesDashboard_2_refreshmacro.xlsm]Faulty Products!PivotTable4</c:name>
    <c:fmtId val="1"/>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Total Faulty Computers</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layout>
        <c:manualLayout>
          <c:xMode val="edge"/>
          <c:yMode val="edge"/>
          <c:x val="0.29536912371811025"/>
          <c:y val="5.2741516512494105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'Faulty Products'!$B$16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6B-4292-B97F-19A845BAED9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6B-4292-B97F-19A845BAED96}"/>
              </c:ext>
            </c:extLst>
          </c:dPt>
          <c:cat>
            <c:strRef>
              <c:f>'Faulty Products'!$A$17:$A$19</c:f>
              <c:strCache>
                <c:ptCount val="2"/>
                <c:pt idx="0">
                  <c:v>Yes</c:v>
                </c:pt>
                <c:pt idx="1">
                  <c:v>No</c:v>
                </c:pt>
              </c:strCache>
            </c:strRef>
          </c:cat>
          <c:val>
            <c:numRef>
              <c:f>'Faulty Products'!$B$17:$B$19</c:f>
              <c:numCache>
                <c:formatCode>General</c:formatCode>
                <c:ptCount val="2"/>
                <c:pt idx="0">
                  <c:v>40</c:v>
                </c:pt>
                <c:pt idx="1">
                  <c:v>83</c:v>
                </c:pt>
              </c:numCache>
            </c:numRef>
          </c:val>
          <c:extLst>
            <c:ext xmlns:c16="http://schemas.microsoft.com/office/drawing/2014/chart" uri="{C3380CC4-5D6E-409C-BE32-E72D297353CC}">
              <c16:uniqueId val="{00000000-D0C3-424F-A21C-A6C4B19F86BA}"/>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Faulty Laptops</a:t>
            </a:r>
            <a:endParaRPr lang="en-US"/>
          </a:p>
        </c:rich>
      </c:tx>
      <c:layout>
        <c:manualLayout>
          <c:xMode val="edge"/>
          <c:yMode val="edge"/>
          <c:x val="0.28813479316576046"/>
          <c:y val="6.92774278104098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52E-48A8-AF68-82BB7223A5A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52E-48A8-AF68-82BB7223A5A9}"/>
              </c:ext>
            </c:extLst>
          </c:dPt>
          <c:cat>
            <c:strLit>
              <c:ptCount val="2"/>
              <c:pt idx="0">
                <c:v>Yes</c:v>
              </c:pt>
              <c:pt idx="1">
                <c:v>No</c:v>
              </c:pt>
            </c:strLit>
          </c:cat>
          <c:val>
            <c:numLit>
              <c:formatCode>General</c:formatCode>
              <c:ptCount val="2"/>
              <c:pt idx="0">
                <c:v>12</c:v>
              </c:pt>
              <c:pt idx="1">
                <c:v>31</c:v>
              </c:pt>
            </c:numLit>
          </c:val>
          <c:extLst>
            <c:ext xmlns:c16="http://schemas.microsoft.com/office/drawing/2014/chart" uri="{C3380CC4-5D6E-409C-BE32-E72D297353CC}">
              <c16:uniqueId val="{00000000-BA06-492A-B493-FCE97A90737E}"/>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Faulty Phones</a:t>
            </a:r>
            <a:endParaRPr lang="en-US"/>
          </a:p>
        </c:rich>
      </c:tx>
      <c:layout>
        <c:manualLayout>
          <c:xMode val="edge"/>
          <c:yMode val="edge"/>
          <c:x val="0.29260270235769953"/>
          <c:y val="3.92389749038864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CA0-432E-A9C7-BF4626CAF2F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CA0-432E-A9C7-BF4626CAF2F7}"/>
              </c:ext>
            </c:extLst>
          </c:dPt>
          <c:cat>
            <c:strLit>
              <c:ptCount val="2"/>
              <c:pt idx="0">
                <c:v>Yes</c:v>
              </c:pt>
              <c:pt idx="1">
                <c:v>No</c:v>
              </c:pt>
            </c:strLit>
          </c:cat>
          <c:val>
            <c:numLit>
              <c:formatCode>General</c:formatCode>
              <c:ptCount val="2"/>
              <c:pt idx="0">
                <c:v>12</c:v>
              </c:pt>
              <c:pt idx="1">
                <c:v>31</c:v>
              </c:pt>
            </c:numLit>
          </c:val>
          <c:extLst>
            <c:ext xmlns:c16="http://schemas.microsoft.com/office/drawing/2014/chart" uri="{C3380CC4-5D6E-409C-BE32-E72D297353CC}">
              <c16:uniqueId val="{00000000-9135-4CED-B40D-59595E92BEB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Faulty Screens</a:t>
            </a:r>
          </a:p>
        </c:rich>
      </c:tx>
      <c:layout>
        <c:manualLayout>
          <c:xMode val="edge"/>
          <c:yMode val="edge"/>
          <c:x val="0.36194444444444451"/>
          <c:y val="5.81437736949547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895-4005-BEE2-07463B47AB8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895-4005-BEE2-07463B47AB85}"/>
              </c:ext>
            </c:extLst>
          </c:dPt>
          <c:cat>
            <c:strLit>
              <c:ptCount val="2"/>
              <c:pt idx="0">
                <c:v>Yes</c:v>
              </c:pt>
              <c:pt idx="1">
                <c:v>No</c:v>
              </c:pt>
            </c:strLit>
          </c:cat>
          <c:val>
            <c:numLit>
              <c:formatCode>General</c:formatCode>
              <c:ptCount val="2"/>
              <c:pt idx="0">
                <c:v>9</c:v>
              </c:pt>
              <c:pt idx="1">
                <c:v>15</c:v>
              </c:pt>
            </c:numLit>
          </c:val>
          <c:extLst>
            <c:ext xmlns:c16="http://schemas.microsoft.com/office/drawing/2014/chart" uri="{C3380CC4-5D6E-409C-BE32-E72D297353CC}">
              <c16:uniqueId val="{00000000-9DC7-4D43-8DED-663A55C20F5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_xlchart.v5.3</cx:f>
        <cx:nf dir="row">_xlchart.v5.1</cx:nf>
      </cx:strDim>
      <cx:numDim type="colorVal">
        <cx:f dir="row">_xlchart.v5.2</cx:f>
        <cx:nf dir="row">_xlchart.v5.0</cx:nf>
      </cx:numDim>
    </cx:data>
  </cx:chartData>
  <cx:chart>
    <cx:plotArea>
      <cx:plotAreaRegion>
        <cx:plotSurface>
          <cx:spPr>
            <a:noFill/>
            <a:ln>
              <a:noFill/>
            </a:ln>
          </cx:spPr>
        </cx:plotSurface>
        <cx:series layoutId="regionMap" uniqueId="{D25934FD-9B0F-4040-A4A3-1547BEDE1E7A}">
          <cx:tx>
            <cx:txData>
              <cx:f>_xlchart.v5.0</cx:f>
              <cx:v>Sales</cx:v>
            </cx:txData>
          </cx:tx>
          <cx:spPr>
            <a:noFill/>
          </cx:spPr>
          <cx:dataId val="0"/>
          <cx:layoutPr>
            <cx:geography viewedRegionType="dataOnly" cultureLanguage="en-US" cultureRegion="US" attribution="Powered by Bing">
              <cx:geoCache provider="{E9337A44-BEBE-4D9F-B70C-5C5E7DAFC167}">
                <cx:binary>1HpZc9w4su5f6fDzpRsgAQKcmD4RQ9aqWrRZXvTCUMs2AW7gApIgf/1NomSVpPZxz42YuBHzgkJ+
mQmiCAK54Z+P5h+P+beH5jdT5GX7j0fzxzuhdfWP339vH8W34qF9X8jHRrXqu37/qIrf1ffv8vHb
71+bh0GWye8uwuT3R/HQ6G/m3f/8E0ZLvqm9enzQUpXX3bdmvPnWdrluf8H7Keu3h6+FLBey1Y18
1PiPd3f6Qbz77VuppR4/jNW3P969knj32+9vx/nLM3/LYVq6+wq6XvDecz3GEaIBx4RQ791vuSqT
J7aDMX7vM+66rk99l/548PGhAOW/m4qdyMPXr823toX/YX9/aL2aNIAf3v32qLpSzy8qgXcGUCn1
t6+/3eoH/a1995tsVXQSiNQ887tb+1d/f/2q/+efbwD482+QF6vx9k39Hesvi/GvRk6qfPjxWv4D
60Heu4HnurAWAcEE+e5P1sMnNPApZT5mOPjx7NOS/BsT+vmqPCu+WZh/3f9XLkz0kMvvqinlf3Jt
2HuXEt8PMA9go+B5O7zeK8F7WBKXBYi6zCMef702/96cfr48L3XfrFD0r//KFTp+6x++/idXB04y
6hMSYBd2BXN9/+3q+O9h03gBpYhxu3inQ/S0cf5+Oj9fmB96bxbl+PG/YlF+feS+NDKvJP/fjQxF
HqXUDRinGAzJ66UJgvcIcw+5AWaEI+K/OdTeWIL/fVo/X6I36q/+yf8nM/O/m6Bn47x40A9La9Vf
WKFfc+3fBT/jjeor5+DVv/1xHm2//vHOJeTFMs5DPOk92fbX1vf0zp/1vj20+o93ju+/DxjyAhaQ
wMWcwYE4fJs5cAq+BwPGAp/BorvBvKKlarT44x3DsE8J83wPjNx8hLaqm3HM34Phozj4sYHZsx91
pfIxUeXzy3iifyu74krJUrfgx2D4N9VJbp4l8TmMjgIfey7zA4+7cBhXjw834KyBOP4/OU6bEg8Z
/VZ76kBL5N2ZOncXlZiCNe59924gtbsopiZYWy7iDj5x3ab0Ttw8z564P9O1Q1nhn+ni4EEmSiyS
vqp3tuF5XlfhmQ7MWO/Y3LzB0mSqfgg67d4vtdkkZGr25yavgpekJIWzU9kmqAPvU1Llxd7zgyRy
ZrIeS7QcBsHWrl+TTy7TX7NSD5eJmUIsxFKxJl1l0zDe06qOSo2DT31iVjRItY5DxCayyOMp3o1j
He9sz6+CeFfGid+EZzqLsXfR92mYjShZEhaPoW68NFnwYcI7k2NWrzDheGdp4XeXjorRn1Um082Y
knKfTkLt87kRsWFRjioSvWFY0ja+bNQ+qzKnDW232gTJkO0tLzfGWSbCpMskGfuV8SZ+TNumXyVV
zI9i7k3GmLAJqFpUeK1ar/0YoNq50rnK1pkjVGiqXh37uYmdDBpWjyGtyiHUeki6KiSFXyyqOgnW
ntZHnOjpmFQOucVKtku3j5NVYxp6K5JqOCRVe1cXRbxAAtH+JsvS9sKIiPm0velQrm/gf/SbUkp5
wixj3ithINNka0l/cpObXynZgXLab7xGqe1gPFWHVHbjbuDZy8ZilcvMC4bFelLdPa05945j2m8I
HvLLxpPiNo4dum6Jj6OG+OLWtCMO+6E1i9Qd9LrOtLfD2O0uKjb0G45reaQm9Zcln9SNa7gXUScT
n7KcleFggn5XlTVaKNfkUTq06Ufby5977eDIE3buMfCZN2ku/CXOGxlhVtJ1IOJORJYeyp6ukyJI
Nj0eu0U/iTp02kHcMpOVm6np601iEL+p2r4Je6dIvwozLHUtinsdj3ghiCMPVLvxPvEysoj1GK9U
R2hYVHGCQw/CpxA+erWqclcdxSjUEbFGHce5qdlAQxM01coyGj4KDPsGOI7QNOR19cg6c6jj/N5N
i0FEVVA7FzNZln0vIsUm58Lr1D1sT/hDz2RTkua6nbbYm4rdRLVXhyQjeJeWeZYsdKb00hum5gSe
+GmL//SrQmxYQeVSCcePut5J+Zo6j44uzCFjsXcsTBDxlOXTxz4f8hDVMuFlyBOdh5hWY5jQbLwK
JmpOTUkWoCFfIonhoaqbaR0TEDW5iQxxx3XOEnmtYuWG7tgUj3JINibtzCfaNkdW1utsPkdsA6de
vKPzOWLJwh4mZxoW8DKeShmyBqd73ePiIBrCFmBups9JjPZ+6/pfhZxuyUTlp4IHwxLRON2rqSkO
MgieRPty2qekUJ9emMKfWBeMISx+ZV0CFLgkAH8zmOMBF83W54V1YbiQnfAF/5b5Mt/KIEvz0A1k
deFUvrrQmQu07b6l34q+oP/SfavbjlMWOdqQJfEmdNfVyU1NR3NZSJneqSGKi7aIYjXGy3xeZttg
fyJwhhXZvsz1CS9cJbzQcvmsYZwmXlq5s9qzxhmn7pR4odX4+2fUZXOoy6G8HXmThW2vhmvpNs0+
9kW6oL6uHpKsv0iMl3wsAkduCY+LVdLw6qHfaZlkD22h2hUkV/jGz7P2o+MU2yLNwmHStyaZyivH
1/SmEN0hGVn3eaRUbCbfJ0vMdPe57OsiLJpWXBa0TTZNwnCEG1yEQTOK+z5ux6hAyOz7ko+3RVZf
sRlvuRFLVEzxtpa0/DR1KLJ4F6RsNerUXcdFJu6xvhxGwz7HY+ls+q4hSwsnPdnqtJJ3ScD1TpMp
W8RDIu89N138zdfHwV9+/fUx5sGJBxGmBx4OfIqvv74p9XjrI19+TXHmZTIC05WibLonaPKjYXTB
Z6hi76abOJhyNd6jPPAjJ9HtfmpH70YkzqcRNuwKDypdjHmc7RsPZfuiap56FnN4cZWVU7J5g1tZ
0/mmDa3cmZ369VXjNfDGfzKcxVCbrivRXTNK1NJ03bBHuqD7rOHpslBT8ln76SWbNzeN6VXtE/TJ
irqCPIn2k/tCVLGcfVWOd5VWBf7kx6Na4gqLRSN0QkToEGeqyiveDVvYkqshJWkSzj2UkywJk048
9V5z38o5Rq5MpkDjtZziLb5wm45EvAzQ3hmnl01Q4W3q+c32DX6WzeIK7S3pU7XXpog3MhvHLjyL
nHUtRlV56Q652VhVy7T4W7UiQDdO5g4Lo7JVPOXjBzCeaYQ5bj77o5ah1Hz4M6n0YcoSkYRppkMp
nU6GhaxCTYPmBsuiiRxa3uHUpJeuQO7dMzUFiXcnZX3n9kV6iWdq5lnKBUt1lvy39Kb5Cc+jnJ+X
wBMs9cw7P2/mnannmdEyZ9uskl2YYikOvEpIZKirFgUjycFitnduMstIchL52DzJ/UxYmDje/Hon
U8hJvNzIEDt5c5jkuhSCX+6xNxu56kbF4OvlX50kx9QJKa7dpQ0pFF7nnet8sESWbQZaOR8q6atb
OT70BdvFbZocfL8Bf+KZrGIE/kQ6xCduIFlzHSTjAsFJRafa3XskTzZthdw9nXvejNmexc5cVcXO
+ixne4McbnA5yf3AAvBeiWtWum7ay2xKnhrLUF1gIJz4gVmRCY7nyDIqmhsaNrMenkE7jJW2gkE2
BuGv3zFjf33HHuEQA/qQU50zQ68PSyOk44rGc77KFN3qqeHXnKXpoc3iPrKnJrhdj13p8WtwL+Wh
fsY54O0z3k9yiFTtjrOb9miYDF7IW9xL2GMeP8gmuAl0PnUhHKB4Hz+fDKfejKGprZep9EkYiBaB
4HxwWLZt7I62PSsIHggJfY/AiBY8Dc5xXEb1JNDCURB41HlWhWUflLt6DjwK5aG1QJ5cWBKVPL/W
OD1Rapbw4qQKpSnUTtL7SecRj0e6y2vdXg7uUEVaZsVjDUuUxr65LyAUWZ4lfPo1phdtz/0t87ws
1NiHD+9MV97feFz+X1cRUkMQH7qQeoVyBJt30guHK6G9dJAR3lda6iRqpcT77rnxWwlv0dJaE/AO
q2TpadlenKG6hO2Vy95bTpKSoyMzcszaPEw90R7I2JGjOzcWlynJl8GISfSGYbkmyCGydeVSd4Gj
t2qSLD8i1acL6RafayPxliraXramay+9uTfjivjj5iSbpSS7JF2260nv3k2uCq4Yk7tmqLw7Lxv5
1cyrEX/Ba2eKkOGDUvm4VK5Tb9uhSne2lw7jUy9/7p25514ysHSXuW2z/vUO4385xajrE04pn2tE
LvXe7DDtS5SOWRk/ZmO5wJj5KuymGmIWBIGLj3mxs2RNYxzSJp0WagIvObTsN4IpF4xFJ3ErZOYx
rORZ3A5pSTskr+hl7nrFSqZ6PEriVW6o47w7VjuLTIM3HjMLsyqNV8mATJjDFnTDMx/yWF3IWJ6t
JyzH44n9NAqGuDpsmoIuVbKsGt5piCG7Zo9TVRcL27VN6+TxrkiWlkADafYvhM9i48wRiAc7J1/K
qoLhLHTqxp2Eg5V58Spuc3Voy3JcVeDFhAyyEQeL2YZCrGVC2+UD21dobLa+0OIJOwuKQD+NYLGg
osHFrz8A7P3lC/A44z7xKUcB5AMJer07BRNxno6o+ZrpcmrJklXBqhGjc8h5fVU5pt9a6gQxHE9h
U3bjIvF4EOUnepa2/DST48XAmu1YcufgFYL26zFQL4axDCsrfZcstBp0GFdNGqVqcr5Qt7xRVYOT
EDJko2bwm3hXxi3r+yGukijXJbpFYjLLUjnxoa5QunVlWW+5L7xDBl7TEg9pc+sVZRqNrUju5xFF
xtA8IomT7IZ7olkTp/JCPdTFI0FoXZth/Cz7Il5ODhsucO7HV1Yib/zhmKdpGmp7Xs3nkyEd2jN7
aA31WIXUS/JV98w5Cyq3yxde0pdROXjtdWBUmNdG3JI6ELfu0LkLGfB2ZbFnCW3qbIFNfFPPCQQ6
iXLlxrFctDNpMZmzYlUH4Pwzm3JInukSQvVrK2gxJ0jTxYTT9toyzmMVNnNRuiTEraMvSC2Wtebl
sUsMJETmHnMLdaxoSXe4TpZvcCthmbOmFT0r0VmzmTWfh7USFrdirjSnYS30Rv31sG2g/sZpw+RN
8M+gVo4IhF8Q/8MH6vE3X3sSTCkNKu38mbXZUkPuwgudhtcLrDqzsDbibEt4H5gjv7eALCsQtTZl
LLx6kU3Tk7zFrOYkJ3PsH+FDmkedrdRprNfjnx4qU/adwZGXmaK9LuamZzcCkfrq5PnN7h+E4Gck
4UV2VaV70rmRgVPoOtM5vQ2cPlm0RJF1Egf0tpz8dOfXbh1arsGG3s4KJIbPwEKQcQWFYQrzti3X
1kN1gqxbgIVQG0smRd0t3ByrDZqT6SL+wbWZ9zPXZt4tF83Cb3Rxhso7VQzFdqrM93h0iyuBRHlq
nKT/OlUZ3lrIMjue99vUbb4XuC2vcuROCxO4HvyTQpXdKvWSRT97NWnfZtHojvSyHlG3Yy2tlrSN
k/uWOVETC+/zNMWLJKnVOjadWMDZIm772hO3ODPLINHOpYWMNAqcrEosBprCEdcN7jLQXbkSjuwj
ilVwWZOAX7K5V9EkCSGbkm/PDJMF5FA7U2TFzrgdpNNl/4IBucIp9JADzoaMybTrmxqyGxn45Gml
rpDjP+qRmc9jr8oVw3Rc+1U1fo47del3fLjJhPibfcCghvMqeIGsGCIEEYoZlG08/00OrBti3qB6
Mn+aBjL9KCyNU4Y+MfQAftq1okVcRUyT714vgt2Uov4W0rbtJmPFEFnSNn31wS+n+sYSroTvhjAW
rywpcEkPSUqvLdXFZX/by/h7ltfdzu2d6gi5VXLKc42js1TD4OxsDuuUq8p5IFaiz7PoLOfZLFbQ
xcs6oAsnv7BOWBFAvJNVOVpYv0u9JoMxKBaaVSsoe9GDl6tbm9y3TZUVV0nfVEdLxbAEy9xj/vJU
DUgb/yyv8OhFPTioFyQ13sL2Ct/wD/XY7Ic5T2NxMmbkItAx/6B59Rb3BgTWMJVNNGCUxH/jyWE6
V8XAZYTqmq2aMYx9RnwP+QEnHoH85mtDzmu31WPrqz/bceCLMo6brS66Y2rGbAxNKcwhUY052J7K
ynbrN+0RYo2WXljhmSyGOB3DwLvJUc4OgZLFpgoCcaGdoTiwdPKXrCzMLfhRQdhIWTywwuyyrmrB
vuY8ZH3mfmXjmIYlokcXcoIHSOKXkOHiI9SVwCDVE+I89POxvCpZFgZsWndF7IaidzP5zYXK5qIc
RRFNs6N1bnwh2z2fmzPWl1WIsElCBsXpZQDWXd+o3t+WcbMpXON98lKhFmNF6JbmjvdJ+3wfu0F1
0+XjcJPqeAdHYPaxYpeMTdkeppLtbc82fGrGNkx7vVNtjjcWa4IeKkRugtankA4KTx/yqo3X5yDQ
xo1n0gZ9NiZ8lrWQlfCdahnTXm/bKhl352bqq3FX5MWmKLS78bykqsMz90QzAQUrP562NB3I5eQP
i64s6oM3UxbSYHV2SJuDpeCMecJ7heRqTNEQnTErAjWce9yN7XqAHG/zZ+qhcjlo42+90ofwqxqT
L4VXehHkLsedGovyE27SE67iWG1HkaZLyMyJL55qIRfl4+CSFKV/jYm+82ecQvC+ygITr0uHlVBE
GsU0hHFt8LjrzeDflp6Sd1qtbOKJtNgSNn9EBBczxxL5LJb0L8QSuarTQCx/7Rt7CErab7YUnI1w
HwVu0YHn4PvzlnsRuRpvKKugnLw/CwH7hRHE97Zx+JSu6jHX4RkjQo996EIi/CRT5jnaw86jz1pW
9g1p5SkayzAv4C+xWt8KZxov0j6AxOjcjBRFcHXGHM+QL1sUjrVbbmpXkZOY8Pxs5aOWRxbzhgwv
aB3UKxRwE1WmLbbY1MGH2nfQ0vcqqOjOZDWRZpNpLsDrBDIdS6gHqkqHluzgSshlj8jBUpmY1IeE
nhQtUvj9Jk5TdpUE8jFFRbkrfEg6d8TEoS2BjbP/+QZDM5a9ljtjDoXK9anW9kav8/i4o4ObhZOT
fOmyIvvY9r2zxK4AkzIm8cGfUL/IaYa+oCnZItz5X1+LZgysD5lFad33C2nMsOaNYFB56cWRz02N
IJ2LkIiEzMXRp3WBQsu19MDNEXx9snUaN0ehxYKeimPjZDryxFguX+jVjsvWOYd7ALUQ+aU36fsJ
bqB9TH1w00gBiRtLNtVA1iwT5dKSrZvLpceHeH0SzmMRuXnf7CyZOPVnRkV36ScN/iiyNuIe/dbF
HRQTqUdvR1rLQ+Xjz9aKWQhqczsIb+QlUwHbJxm5IaOCOqf1x3ExobDCkBE8O+pnr9xy3RrSgm/c
dSdGamuw5BfBFMPpo7sxvagl2QqDijB1OZTcx3bnzU1SVC0UDKE3qUzBaRcszpDtWTErYUnbIM3a
XRzjdg1VdxmmScfXbsy8pVJSfvaVGkM5jdMhG5L4YzBeCtbLzyim8W6KyzKypBsUZMF8VGwtqXS5
60sc36RN+iVu/YcMj2yR+LG5CIQq7rTId03ej/cWlzPuEvRTnEFO/UI63hTacqjxg2xpSVsTtdVQ
yziXTc9YN+lNNaGt0yLvECOhVmD8EBS9gTw3wTMZI1qEtCZybbkJhL7jSbqp3fQwyW1c1d4hDdJ6
mRhSLr3J4wcDUViYDEP9BeLGKZLCj3c95Jfvqi6GzS7rLyRzyDp1c71qJ1R9qV1ykGDZbzkRwUl9
msXeqBeds7A4uEpkSWW6lzV3Xlx/8FSVhmnBvAt7/QE8AXzZThjWAS5NjCXTEZ3AS+Rdkl2y7k6a
mPEQclAQHECxcWGk0yz7FApYFqM+hgoGuws69UqspJ+zASKfUFROcE3GmwmSeyrCQeksMteTK+p1
4hYFdTwz6/nuQ9z7l7+2EBhuhr62EXAj0eXgYMCdDuRBmpO/tREI1aViUrSQ8wfnrzOFGxWDdC7Q
QJPPsgigegmhEGcNJA6JkaHFk7RjK9RLvHJkKT4HSOUhRKb+EZIP413R5JEVKxUtd4kIzIlUFHWL
Nh3Q1ucyjbTR1cWEhj9V0aXfi+oYUNIkYQkpE9bF/EtRtFXkQjh3Q2JY5ALV9V7nPbvAbT2sdUOm
K1XjZOGO2P00j9PrWH6fpqdxXIdcST90kqqCWzLCh3sjKu2PsTcdeJIp2BoYsJqTDhIGSXeYnLtm
6LqjlbKwJceunjakRw8Wt5Bl2mbsa/gYNfWj0xMs2M5Dttj0YVeWydpiLx7GmV7DadPuXmBFXxZ7
jeoFHWr2NCn7KFp2aO3mTXGa6AmzMg5t1KKneb+w4JtZN0MPZw6kzNZlm9TbBLVXXm5YuUoJltHA
c/BfMuTSfVq5/a7OcFyFdef0O0srrpJIJ1guuTcuczhqFOT7szEaAi43zNfFLesEO0wkvvSJAGqG
uhySrK1GdCsDWtwik5CdQ4rvZ4mBou91mbIlXHDJIF4DTdcv2FbDXYvQjhHMA+WmuOr8jh6sBMnr
bFND3Rv2KDAtBjdllm3piKvTk4pgXBXjOMEeBYlA1ts4naCY26xlm5kbi7otL5cYroEuTyOouL72
IBt4HpThSS6UJNXajkqmKj7KPLngFGxqpJlOo6CKxw2EalZJJzHZG118suIWMhO8R837+eyAmcSC
kwsHG8igzqRt6gSuyeW+u7daCU+cTVPBmthZWcxzy4uSIX608pLIZg3pa7Gw72Y08f3soO45lLAv
m3p2IwlYxLnxJgNnG/aCpfapKOF2RRYyyYprK9JOzFszZz5LXVct3ZToddCvRtrmD3AXJ1+ZicBt
CMetPuZTvMFQ334gTdwufK3cnTf05sbp+z9xHWcPSTlANhMu7B15EmSXbjz5oWWUvvne18y5lrHK
oOSv84V9QE+LHeSjPo+qH48sd7otM7AU9iF5/EFVgffFaJOv82oI4L6XU32GPGoEed145eZtuoIw
jtw4ejek9VRHnUnzCE6XdIshOXrrjPDKqqEET8BIVMNtFDeKcVJeWy72Zb/wpZOsLSmcgOxbld+f
hmrgG64hCXnkQYduXTTKVexOamlJuEuCLlNJNydZbUQe1nhSkCD3Hu1orGLOOiADjSDdhG9dx5Cb
AnzQeVonBOLEqKhFdpoqd3R5AWc7Cr1ZxMsnOCaCZrrwWhwZ2f6Yc0W6RRpPYm3n0SlEoIJaPs15
8Pml7vLyNOf5c4D7XxTuH8xD5rSeLifGNpayT7HzJu4wnOb1qzlbJdM6f5lzkjUIqvNKXOrSrAYn
o+uuCbZVBuXIpdNV/oXjQAIotN0xh8spUafh0qtkdANpPuBwRyn4aHIcnWhHg/lLKYcU7ZSA+jzG
gHS5iiX/lHmiehoMla0We8s+oVXvohD86Lh0soWQYAC87DZta7zqmtosGpTmt5Baz2/r4hOH7+na
CnTM9ZaIq2ZpyQpl7g0oW0GrUuQjXwxiKFcWayEpD4W9CO4UjFvV59GTGozbCp0t/K4u1tLt81uU
UH05Yn99lijqsYO/2amNHQtcpuAAb2ROq1UVePswYavaJIaFUF1stxYrDRr2I0m/TPXUbblX5wuM
eLom2tALlJXFITFNGyVmEZfVlmequZtQWYS5qMZvYlrlJWu/j/n0OKDC/cjVwBZpE5dHuFDEt1Ad
YWvs6uTaxGKEubjFPVyt3pWzUtrJNZwI7kNKPahm6Km4sU82o6IXaQpxNFzoXVfcb9aZO7GdTsU3
b3DrpaAO2vQ+pwcJVmNFqgQvnTKmizGrgwjFnN857bImpIUa6IAfeIKOqqh0Ehp0JbiBl5yaeiWk
q746XfJYo97/7BuURWQY49s2SZyFnjJ0yb3p6dlJ6VYXb54ru4Rfx3QKIibE8LGTkP1wcfzmeUMt
mQhVW62CscIrn+XeqtF0WMR5nEMNG7MFHXv84HQ4jHu3/RK0JVuJZjQblCn1MSD+RV3MozYBjuCO
aXfwTI8vS5nR8KQ5Zz5FPd7GAa4uGMn6pVUoyjXcHuL3xBX5Cuuh3c5JzA9T4F9ZPmS+y6jB9XAU
FTJH5oxFdFIMkusJE/YBtp3eGiSyVe028X3crE6KHu+XbjepC4y66XYQzefTRIqJhk4JLy4bh/7g
shpHap66HJwLJbvy48TFuHH56K8K3XVfMrh+aQUcr+FQ2cfFfEGyvgk4XFyyj2ppq8MWvIarJBm6
vd+jfGEZDm1XAZyanzrukTWvmnEtMuN8UgRWfn5mVat6MQme75NkSq99p4crwvOLVp4nwxHcvhvf
4d0uxo13GrJJC9hwrfiiJz9Zm6lqNv7Ax4+TcrdWMys8Cp5qUUDY7ASXZZa64QQm6Y4W5V09DmUo
eV1sVJLpUz3cFsWp1mUYC7/YnAvlOGG3juHudramjZPSm2pueA6+Xe39X8q+rMlRXevyFxHBDHoF
PKbtdM5Z9UKcOqcKCSQGgcTw63sh572urj7xdfcLwd5bEk4bkLT3WitLa2OmT4Z98nMb/00BPrtN
qK1gyw6bBS81nUwrzenLjOXk2VjhpMhxikdMw03j7rDMdY4R10nEW/rGfct6qor2wcl18TFFDb6c
SoQJc1nxIaUz7ZQtpo2JhqLgmeXP+mCievR/8Ta2L8ZaR3THuHir1xH1AlD/OkTQ4bqLkAGKEMgF
VBs/1vEJBLL4pAKN1anuJnc/RurRXQMyj60u+y1sTe0eL/0QFZASmSGnEsg/Bu5/Tmca2umwTP8U
zvfRL8p9rrRIg4Z4FTavdACoo/d2HfL4AI4WfOdqYLv7oBHPi7Qpiqv241fj2sL2fFIiu9lu7U2J
23XDAft9DNbXL0Vol0+cEf48BkHxEFDyU4UcMVfFYuMOPW4zcyFsqP5W7eBsXII0EVMMWe8mLD94
YYUbYZFmZ8xuzAPcBVV7MubkuXsGBMiz3+RrEardNHNdfRRUVmevtfW6kK4+4iCOd9LOv6Ilnyqg
m/L5YKLajv7yGyofTVer2CyePb1L0C6uSD28meuI2u+O5kOJdXyAQf79Q5mokM7tQ1lWNWGxUHW7
3GB1VhQPWZE9xqxHNic5djKbuy+mK7InNkAg4y2sHLX5tRG4gyuW578D3Rrl65hsbRQIsWTdUGzm
ZUqVIOVLEYjlDYnETTW06tlY9thgicaCJ2PFjncAJri6WUi0nryiGa8mlg/kkc9N/GgsZJ5fUHBo
blbueR9qipyLidWF+OHQgF2iZVne7BwVq577YDCsl49tyRM8G/nJRB1RyKQm83C6XUQ1U8IcHj+Y
aI15PnGELx9u0TDI8Uzx6Igdu/0WRoQDgXseQlkdgCpqXpcwKsG8sJ3MmAW3h3Ms888ImWLcxV2V
FHNuP5ugPeBSjdeTY91bzetU6WZbl1O/4pOa1zH3xAkoV2DHTd8hi6qYv5qmoq4rwLQLLNzXplSN
euMBMbg1UdJ3zRGVFS7H/sI9n2a8Ek4GMGp/CboGnAe1npY01glKMPn25uwooEJJ1zvXUgAD7Bb1
DMbMOobdFYnwxCcweodpQZWirvL6xSGjuHSMXmzLsZpU8gUbNseLDiYagAn+kM8xS3LRNS/G52Kd
HAhXnYyLkTHfm43QbAaYnX7fu02Pty9Gn5w23OZ0UZkxTQ8XzIRK28/G41Cs9eaAAxa6XoDO1XhV
er41Ny3GKcJt1wbV3pgxHfS5bPTzEk3f61wPJ+MerBW3skz6aMyi7/xjjhkmMaY5jNJ99QbOz+ZK
ZOH9nmH2Su8t7CCbRpHhRuHX0Z/sjWcrvcGbptvWQxNlpqNuHOt5/Hn7a/uOLNmMnNnWjAIotPtY
8XLnIm36YpoH9VKnrr24Xx8/LnzsgYIPVKiLNl2WcAucceoD5HWdIs+7VsimnogVH+8uc1ZNQH27
4EwY6+YatZWQdpp2tFNf3fuKech9zTqdiupA2ynacL9Qt2SUSUGZQ97Hzzar8+MtByV6lMqnqf5q
5xE1blUUqQ2hLcvGqnDOTsCHc1BRkVUTp3/nB4M1ucdtX/+PcdMfU7PA5o83W6GRpuxY4z8ogNMT
Ux65mwbQezdNiaRZGw+hjcYrpPceNX17FTeZJPZ0iKeWPPae86uj3vwZxpRuLSnDXbAWoLFqO8+S
k+cBq1DTKi+jt3l0kFcUI9kiGY4+rvOmFRuewDPsnrjH3ymv5s+2LOJt1AJLpDB1flJ8WeGYJzSy
G6Qcq/raeRp1fkuKE8W2paoYbTf3JswJAGCfaJdNVE+beWxQSYlIfc0ttzwEqEGeb76ujsdzOA19
5hJJ1aGdpL1x28ne6dCO8aWVgDAsvr2Lax1nQ669NxOtIhBp2thNOPLH2wn8o7S1xiZPHLexz7Qi
G0cO89VbD7Ng8xU56R+zK6ujsYw/Vu5XV+MzBzu0JtQcWfQYeJUGSBOozjnq9WtQqX5lLfXbcTV9
y4kOYVmw1EQbvwTgQPoATyFoXC0KFMSznSdj5S3VCZkB+Sz74vfRbGfLChk+ASs6ADZ+Vm49Pjme
1T+PIEgeSD7YiYkZX1hYdQo0LBJCa3vjI9V5kMo96VJc7h3DebITY/7R0asDm6foNK5XYvnydSXT
oRR1vm/cOOaXGsuGenQcpLCKaG9ZtQve4Rj+H2dY4aM4n78v9oDsETJpyFL49nMInOvY6eBkLDVZ
wQN1vL+MZQ6R78wAAdfezhOj86x1XDxr5FPXzmaYnA3W+nSzDJiRRaTriAMNghOgBvQ5pNvA4vWJ
ieXdNX9SObth5tMw3tjr12cOpZQP3POss7FQVxenaXTejSXBmDvJJl52HBCKEyso1gDrAbXOr7OA
EbUbqu6bacGd7stvzJnzNPDb8gzc7JAYFueCMm1CuBVdxo6TR3sNiJXe2fi5n0AJJLrQZiSPenK+
epQl+bW07l7nAT9oSIc8e87iP/nVLl/c/lnUaniO8GoHchxpFNPA+MapA0bJb7869cAhP0VkW0fn
MJjSsHLZKRhq/2IOI5kAr13KYqvljA+9BmhcgYk0rxFfO5vJQ0rNtDNRa+xfdZ3j1w6q6VyTEMS0
MH4YQ5DpiAOOWmICxl6jVl78HQeFfqIUoJ2ajO7L/aywZpq1q88C6yPzK/J79N5uaoJTQ4YfdC16
IDk7JSN+/gtxmPvcteTJ+CUg10ib9e3eXosbFNskMbXhu1ZY8MwNwZZ79d+7160uAPCNquvgyhgb
grz4wEYixhIJZ3L1mTPjM1HTbtSS/hkF1e2rbyNzmZKRujtr8YpzPFB65lROx7mdN8Z195uzJhyK
s4r9fkeCann1eX622m76Zz2pUIAzJ7T78kTSixNSFtp6yfFLqFLRoyWdK8+xh2DmlzOnPVm6pI3n
EQkS/KbhejABb3HpkfynR4y/9BIKAcg0CNtyH0fekrnNNOzGuHNe8VNau5EXdWZM3gfDKUDaJjFm
P1XYpmGlUEjmqtSz3O04luWTCRKrkUmHJ+/BGjzn1Qwsyw6J1dWkIQYmNXLtOTK8r+4CgHUAwFdL
3elicHIGPmcHAIf5icVbsD9978Muy+Whr0SLahD3P6ywRrbWqrv9kHfeh2z7b3Pg8WuB/Ofrv3Sy
nNnO6sYNz7XKLMsCdQ2Z8aLQOLH8jJmTcckwY4X70AuDrbDcejeLXCA/DjqNMb3ex85qnXyNOQyk
SxdBu6d55v7R5cRKUfufP21bNalWgQAmftYfjnOufX/+NK1o6wPU1pLpk8QzMuhrK09bppXp/G+t
PKtzstoJKbIhlf7wAc1dR2gH9XVZY/5xWbTq+dhsO2t0stl1xeV+KL1dg5zK+e4RDubxBKipVMqg
PZkACu31pVeNOtmtBo1P4FnGPPPGBh7uxdwF28q3g08t+4z3kv0oI4dlIDHFpzKK3MdJ+1ECpjf7
sfbMZVm9gc/w1dPJxa2naQDQ8VfPzhXerWfjxPRHx4enuRn2LC+7v4BunIKc/gLrGdmXVodvQU/6
TaNHdpadVT1Ia3K3gIk2L8i0oLYVaVBJsLczvapm/qbowj4GJOOzOhjphfp5e4RAhtzlEXDEZY+y
fCF494MBbYXcPftV5ZhRrbb/XBjpsjIAh7FRkT7EsvmGRb/IuslHLgpQuLQY5vg7Fpx7Niv2ywkw
aZTS/VYLZ8UiBOzqDLm7j+Mq3DeegyIRQy4wcMfpmx82Z0IwtzpW/k1hQlBOQC555zSvOmJ52s4V
3zukaV5tlKr2mC2WtPVp+zrOo/046OoBj2zzaloEU7wvlplfjSuUpE/LOKYH034pwMvuhMMzE0US
H2T5KXoylzKumE4ZiNfqyVgD9UhSMbs4mrEZk9Y2bMogM2ZYQMpBF+1303ZqhLwIFthJjKL5g4qZ
eEXq6qJ53Xz3WJ9nPmCgRxnH3buz1Nu+d5rvcw52LO5i3BRtbX+29g/T3HJitptiLOyNGTvbqBnG
b42nuj0kCfqtcc+aZ4Nfio9aCvfQuLTbmEG1FRwbPIwAMg5kU3r+oZVN9Vw1fpQyv8YCItK6Shud
YyrsMFcjm/zcDg1/pLPeICs/VimQGGof69FCgXS1/x8734Zar/avAziFHpJyaA5IeCAlOoxp6Wry
Vjp1f1ZOGyTGXzvTkrXF6N2ayXr6rdkQ89+bhVgsHUBmk+eZeVhvJCgi/sOqgSR95KiTGhb/Azwd
ZAZ69m7bhD6GYUeTZX2JYn2gd6SsgZFfzbALgqRCouBkzNx700U4vFNP+pdJFKANr4PpMEgiwIer
ttRJKGb1d9/LzHZrJCew/H8ooSjy3feicmW6289tGEHyoRqsh5wApyORk9t6rLWeytmRKVVV+T3Q
6uKa/ksVJ2pk8p+2DqD5EA3j2+RJtmlzAgB7O6uDxdi8L/N+eBSzpbK2ovk7CkQ/Ranpr8LeB66H
z9E57lvM4+kzWp89q228a1l2zs7zQ3Uc6ELPva6DDYMcxqu9vihQxpx+WGG/tTrkxPyC6H3l2fl+
toCsHnrXWzVt4n3bIQlhzNnDGxDchPJmWm7u7V3SVzdzLPCUitrimd2U/hu3J1TLvbrG/ApzCMoJ
ZtjcGkcoV++7sOxu0VAWwx7yFvhO18a0ibDO43S4RdsQ1RPIPahbXy+fxD73LX2LimCo9iq2p1uU
kJbtC8eab1G+omgL7di36MLLfIcSu3u7kIxQCGGd592iQBgHO/A0g5tJme3t7CEMbybmNme3qD6+
9a2ncdm5QU5uUUe7E9QfOj/hc3/o43bYg5z95gyrykenRX82B/y8X2elB47xMp3+bGGaUQp6LAp5
fGfMvu3ttKYBz5opJ4/Cd+MzWYaU6zZ/xOTrRQlFcXPbFXS5OU07cyia8kfEAudgLNMjtHKkfsW4
Ldf+96YlRy6Kl6iF3X3mbHDtV7fm49F0N65+YdZDTEHAAxI8SowvL2uSdTKHJsc6sCPw8klY0FxE
UPQP94vlzcAeOqu5VtiQ/3b9scKk6i91uTFt7xeL3OoQxH17uvtVYYljmFvv5sr3sVntxikSY85t
jOglj5wWOe1K3Q4W89WJEgqdlhY4+/+4OafBkBjbbe37aYBSWoOJFxQMS2Q2YCGn26lpOrTcSujQ
k1vkfxhu4AygrwKlhfWS8zpOWCjsioztz1acFjUB66eMsTarlk8yOuTQFbjLjRkGVYR9E23OIIYU
7xJwOeN3oGxy6KSNZew4L59OP4Cm2cfqTFvlvwlkA4y/EmQ6LBSI79vgkC9DjYSNCXIgWNACo30y
h3YoyUmuB2MOQwDcZQ7il/GNXYciNWr8wCtDjgKZqTI6l9EQnSveZ4p4ywMmYR+5sTUQ5pHeIPGF
eaWqsc42DU3EATjatKZr37vfnJHc+epmzFtfWQRHkEMmjrVRv5tn1zoB0sBjX4DdhcPss/o8rgdz
ZnwMBaOsiGzA1P/3AMWU/Fu30gKa3W6b4x9+M4jpijJ5vpVYLt+u+G8XM30dSX4ggbhm5pD65WM+
b+0V/m2YdXfu3Y2Qx8OYHMLC3khD5ru3Gb3CTm1ijTu3j0rQsQP2YrkSIjyt4LuRFvyd5dWTV8zi
76XPS9wWw+8tCB3+Ly1yqxuyeRmgGkFccSJqQPJqKOqTa0eQ9Sj9w90V8TLsk7t97yHdSu0h8XOO
10GM/9Y4mu0o06Kz00Cp4Tq3mKF930auEbkTgnKfjPYNiIRJNwfD9eZsa+C1XYAAja9ZA70EfBR7
bDszw9wCThQlIdCvmzsTc7JmO+U8V+ndd6NwGvtPnuef3NDf4qZ930Nz44/h/hzI2P8zK9TQRw1J
FE8dJnbTJa67KdVbkAsB4kHFZUoAmAe1YHYEKjtNZz90JeSuPArTRFTeuyoroFiaBPiVt8YZytBD
WmT2yqySLGm9sX/umI13icuiQ0wqpEtGWT258aeJGU9H8hLgf1Knd18YMD9hNV/BM4F8psAKPDfP
prk5cCh/7Bs7jm7XMD6f2mVaRbTfu0087h1hAwMjBAd6c+TnHrmPPVXzR5c3zoh7N8bRREwb4JSH
tHe0lzlraxOIGuVsG+3NKEpz99gEle5fc1GKTdDZIb6m4gU6QtM3R1TYpgViQB26k9uJFwBI1P18
nLsq3GHhWFwhuSBBhfWd9wpb52QU/vyPV4IARIKxSDgEOKLJI8As+U5ScaZerRxFPO1Jfhkjmx9s
XpUHa1132U3XbLxpnl7bHqwiFkb0hxNXh9tIUCFAciUf/tEKjx8X9SVfRNZ4Q/vgBS7quNHMW1SH
/mObM3PooTC793vv4ndFcQ7/e0BqrTi3E15rgsXuzo77byZ49//Rdpk6umLb/nWMe1daxfo4CHdj
xr77zdndt7QxO7H45e65N737zIeplrNrxfXp7o5rAHq7sI5QfAj6c0xJk1hR4W0n6PRsQLVuskU8
kWgIXqxmiF/b2r220Vw92iikvvbKWZIlGviDHgV5XXLVZ8i7RPgOEPX7Mdx6WP5v3NUk80wOiwUI
jhmp1NI5E0r/MsEgouw5x+OCNfdJVkF7EHMBindljjkT4gEVKGAZjG1OBW6iIxCtw0MwTeRN5NF3
PJQjlMNgucp5EbU9Pt4s6iOxFU/XmxVGe7E09pOxSIUMScj959qLPmy3WTZiHJZHc3ABhN3UuWcD
ogBf3flfAQlEJURz4ngz2IEKE24ijqRJAfb6/j5CV5WAnhV0V0M64HT3q7Elm9oD+pKMXZ0Bf+hv
BrCqrgNAN1e/iaBpB9kPCB+1gJasBw9ZkbMQKFTl2I1gVQqf8oqdJxdIg62WaVsy301kyKp9qEp9
VSoLS2s62WweM4HM1o8yw945/CHVoDK7EpD0sNroMmuU1UygC/Bm8nr7mx4DDwXk4ScRVryb+6E5
ilxDCvC30zIABBdl3X5Jy8KFbpUTthtsUPLDSjoYKq6uYSDbV3DoGlTMapDBar99FVjg7GQfDpmJ
imgKznIU70hG8yFVIIbGivUQW0N1dmR0SYJoBN+tIGLXaGi2JLWq7WMPGvjtUNXj7+YPawlFWjtW
8YCsUPFgzvKlob+ZJvCHj6892rgum8R0cZZhg3dLsJeoQ02UouIxC7CNqS0fdMHKJyeQOqFd3/3o
dfhKJtt7rdTkg6Ho51ve6vwDullIC7TyR7cIBbDWPFzAUPHOE6qdaSen+nFi1O53BZQGNzVQXtdw
HPOD00MqyO/d/OquB+yausvo+VlXIt2/AQYWi/R+vJigaYYp+ifS1+XRjGEO0CIBCLzYokwFXBr1
l3e5dNvC9+bvXtuOG4VC+mGKVLljGojwfCWQlF7JLk1HixR01hCZCJj3AF1N4Q+APnkzoBf/7WGB
oXK2ANyMuhpUkLqPPr0iH7HrkdEDaKTtx6h+hKsbmiHhQa3JQVQJugQI5mLv2MI6xcNonVqQvE49
kNebsQDjxQSMz0QDB9vcxNiAw3YpAffFEkv0SAYgxOPIZz/smT/3XQehG0C79v0CiSre1dYntDtS
0wB8pSpTXeWfTM+8BlSnUJggLLt+Fo6N+u4Na0OGgGO2q7zHMgzcR2Qkx20hLPGbz0RlSbt0TWds
ZzLralNhZ6TnKcaNib7mEEjuXkjzagyvwQsiEQD9HaYm+ieSs6o2WHfzjT/EIrv36tb+hdfqpJ/z
aGcC5qPkwD4kqECzxBAKQcMBWrOn73M7VI+6hWwBCvpIOMtl3kVdH21MszhHiQBqdJh31+j/dy/I
p3RvSvWJ5bn6Ci1RfQUbQV9B4joQVJJOd79iNQrFyxJjO4hmJlBxG4IFkXswnYwff++8n4dxTXFF
3iOoF8iwj3H4YQf2p+CN/6skO5Bao59W0VNAQ+L2PeqtMNME+DqvoKAs1rHeA5nlPQZt/9Ub3+gn
0MO/vEL9xHDFGVzockzi9TTqBD3TQMYpy3kFYVH47oFBT49QRrRX3jnAwH18NsQxwwortbsrbBaf
jWX8q8u0IgvNd7fCr1s3APytNI92dvMnSzwbAog5LCsppIS8y40UArgoMgJ5N++6ctGvNFan3hnm
x2AR+lWh6p7GQAIeTJBB5HW7UHCzTNSO+PQgam8tWqCrFIo+z8BxmaBxgWkBqK0/PxoryJFjyPtT
ju1NDcnaURy5T4qzBqA0g7IbchGrCfEV1H/WM/C98ZUZe1rb9J01pEvu14kdxdNBgiv5EsfQHnAt
N95iybu8WDaInzGZ3ubVMi7bdd/rruFn077HLbsDzQuzztoiBozoSVMfCXwMRkCmkG4GpJib0sll
lxBkq1FMePu0/Gm2Q6wefXZGXcrO8IHGpyWARiTkM/DefJqkbgGudEHJFzMI95b+BNz6s4AI2bU6
hnjZPEXgpPF5RrWVi2jnI7u+jaE9vPUbDpBAawGkH1opRXlyj3LswYokeyI5Xu4QuBu/x0h0+4M9
g+Tne1mDrezFnFkB4EZd6zpbN8TPWoKenEqvrTOOsj7yT5ilkYpF5gxT8mjnTTr2uZ/FjYssbrUi
yffR9DSTdUVEQCMucP2kBlT36LlySd9clj/EZcmPeP6nBDC2v1eK63Nre8UBQgzfiC7+omVBdjlz
CPTcLOS2sB3GLMlwFy1vAZv5LlwBD3E/HUrZ4m8lYRazC+DtQTKLll7bziNbqq5ulQN93jmvynO+
Q68yTmwgwjJf5ch2WlEiIS+a2jOAP1CvTfWIpwdZgppmy9CXEKpU9pUQG1KgqBMm7gJBOKBrhg1A
z5F1bEH8zFDpgIiwwrxs8/JhAmwxoc1wVkjHQxWP/VMFtQPAoDdsisbptlDHEAkUlpMArMPUbRmA
TuybE6rlr6FTuzxgh34JHr1W2g8ESmYJJie9IUzWCeR3fuXqL1kLlmLv+7OcHHwX/bcaAqIlqT+0
AJjEbdXWm6EuC7RaMsq2SVzro6irNJAdppVuOMuG+n/x+jNsq62Hb6YmEnWZqP9pY5mQBf472ADd
EZBj7E4ksxO/1EgZWNaYukvNAbAKvrvMXQD4xpqSsAZCWHr+Bnbkpq0xwc5C94eurS4sBLJ6KVC3
C6p+K6dG7YAW/csa6/pV5b86UiGRKPs3C9lRrBOWSzshgSRYARb0xDF5LFFmO+4FeEz8JUtX7qEG
MwMiOf7kZSEvEA0YM81fldbOmxcdNRCUqZXTVwe8kKwBORMiF+Ga8fQP+IcIF3+Zjg00MZ6XSlxG
KBhtHFBkNkuFHwOFXr2DuqY8suJAumETua1/yBvpgfkyPimHSSw+h27HQtomWqsroB+ZL+cRKGT/
6DSxldhg7ANpp14i/GcMpIOaJYMwgzzScoQCBrC5NsTqIHeTlpay9+MIjlnj1wC+AteVNwTVfha9
FU2LMtGg4qPQgcLrPLzE0dI9R/6Gqi7cDYodSc3sNAQCktZxuF8W8Bh8vOIS6J45R2zL43RU4JR3
OXSPwFjzu2EGisM+gsPdH7GKYO6mmztogFXhJKH0gdMOvDee/BZbXBuOugn1DmjNQ9Mi0QV0JJqa
USD8ivBtgKKWkEJzEzEtIySjWX0cpS+hB+1P2QTRoyMlzN0Gyn603bY7Aki+4AljsXzk2B9nPUjR
O+XOPzGJhaDJLOSph0R1amFlkGD2K46hu62sukjzNtrElMf/PNeT+lbG2MDNUceS2v0BkvkLRI8T
FzW9Q+EptolK/Xfb4+ehZLm2fsiOdgtoKSrwTc1TwGbJo+RQCB3iLdCv9LVmS7fhCkBkqX6KqEIK
YwAFiFltu1ksFj9qmR/EEq81/4TmM3twPPVWB6DNl237bai5tYnyHj+ecIB5yPXZDqlGCR+Faqdv
XnqmvxfSH7Y8YOGuClFQaUe1zbWsU3ze6kGIaUcYvhDRCpK4ItDnrsGX5XD6KkbU9d0OW5ec7qpS
bBcklPch7U9CNHILIe63sbVTWubiuMQorvGCtKhoVtuhyU+ylS8zBME3tqOvbe58MjdCqqaXDzb2
G9AU03oD5mJwtFyLImdf+QdO7TGTQ/eLOk2T+CBf2/KXC6nXZPLLKe16npG8eBpqz9mX4igLFWSy
S5qof7E5fe98m0HnYsLWNxYXFoVQ/fZGSCIVwKZKIg6ug0VCFVefgyQL7qN4TqP+1EJnOQ7nMKGk
dpNItPG2QbnnogBZlEU/XOpAIZsr2m0+YQ0F3o2dEKtXb8jplxC5CD69pgAjCymnR2qT/cjTARn6
Y2PNPyHX70LG+1swiucq8MZDjcpTwijKxZicp3QOAOdroEWZIg0NFdEa93dUdUnHRfdQjgPewfHk
b8M8dBNlTWPmceed83YCdhXiV3NMsrLVPBkrkFPpWD6Yg6ZB+YDq6AMXMjwCAiUA49UvcQWCBTJL
0HGwEjXIX6UXvAfj/Ld0B9TAmH8CGPuhBQsRch8QKAihoeTl8qOHWA00QvhrzFRwmTDdQ3CPy31b
9OIqZuDwLKaeqFoSXwm+EVjUZS6IWRkJSgg/OyOwtALK104vNp1LvWPbxNVeirg4lRRVtn702MNC
RHDIsVI7UlY5x3L0wNBk9fLQlNW4r6dyhjJm6O0gkT+fNRMFFrOgtQIe0231OLqAVPfOpi2r6CqG
gm0KCB4r0Hp8GqKYOqvgmbRYEtedV+8ZkOLpioJMh8pG3dwHJD6gNHgNPTKmI9TK3/p+r62QpXVd
xm8DivapjAL1LktmJeDl0w9v1kFSAlH/sXTYOTmdbj6tDjVRUg3ToQ38IAPltU8GvC4/pwBMHwZe
yydoxQPAycA+AKcKRQYFdSNMYCoZQNX6nEKlElZR+7NhgUoC5EU+i0AA39ws4yfy6diwVZ3+dEiu
EwGU1CcJeuQWl1h+Fg1eEVPOu09QyKbE0b68FpZ3ZDNWSBC6J0hIRHlmzJIu7qW2wCKa2OcyVG0K
XpIPTHcxbDt/wiTr+0cWYk+cF76+DAMbLz3+1ocpllsAzrBXxgSUtUSAasmj4Iy1NjJK5Got0nod
Knxlo5/qEJ+yzcsqVdU0Jq3lVBAe89YsqAJIk0rAfosed8jkO2kIyPjWtq1+C13kv2LNUWLuIc3S
2ZD3sZd5q8tigKRVG6YdUqSJdjz+2AVjlMy08jYVUsCJB2k6t6nI04TZb7u0F1118171ZX5Z8LdY
ZXgCZvGNs5xekUhVCccmAssNy350CiXx2C/X0J8xYTdyTpFIALqOrovqHDtZW5cqBZlh2HpxkBYK
anS+7VWP4aiaA/lfbJ3ZcqPKtq6fiAjaBG5BqLdsWbZrVt0Q1U36Lul5+vOB117esePcZCgThGUJ
MkeO8TeL5py1ZDF2Y738qPpq38lqOTTtSERRux+Ag3e9HFOILzz/4QLid26cmH9FgA1xRkgjoLXR
KQqzJPLCnEQrvggzUz5krDSFMhSHUFZwAHgRSnbT16k7yklciaKXq0zMTqmlxcIdQ3wgIeCXfWj5
vVvYnlpUFCJZHjqUQ1/H2iWpbhX7tjdqb6xIalRu5OyyKhJeS2U5aJNa7JAJH874+4inNNZSbroF
3EJLukwzmVBLQmiEJ9JraTSAdI3rrHRWMFjoXsLtaFCqtS0+2bMyTM1Rm7NbrLThpeNR9eyo/m3a
S+9bVBmPg2pcEUsnhTzbWoC/RXWoojj3zfS9FVrzEs2T7pFR+8HsTYV5jOczAgjDPCCV2kbKs6jb
/jaJSfFKyvVPbYz6ro5vQ49e/BnDNuiwpHmyTr6Q7Qbc0AP8qaRrHkurDg+2psWPHDUmr4b+rmrZ
DXrjnltiunUt1cYMVOI5Cp3SLwrnKVeJAiMl9wZHfTZJ6ASGmGdP65Rz51bvcSzsa9kpf+XEDzVZ
mvFk1k0ZtHP2pzXA70h0+3ZZ/1L1Mr3mwzh5SjrbGBWMzx3rvg313HNVUZwL1QyDGSX/XTzAlO7D
8FyOdbGLbeWvOZnjBeU34zDViZ/0k+W3MfdJX+vFWYkHKKAGidF5qk7OPIyQdKrmao7aTZVsqQyg
IoZp+rqSpoBlicjiQlzk5E5nVOylp8mhPUCyDZIJFQmniZdjYeUt0Mr6rWuru4L0gu/0lB3ttv2u
xbnuG1IzecJyHj4XzaJ+giWHTosTNTex5kR7FN6CccUvQZ2fdyq7j9pN4jMcJZXq1fKjbQ2wcoQF
Ox4KBB5nZuVlmuKd6N3veViaXmcP5Dq6/Tjl8jK1AlWQbrpNgAxLJth97kQfNkI7weTqtZ/GebBM
kWAzPPAF4eewFxgUBLGdf1TFNO0aUmZBLkGU5wlowkqJbkuh19dySpagDVmiCmEanh26+V5JB9vv
irTz4zA5kIPLz9lSnoSqiwsxPvYmVnc00/TF0DTlUPMgwSJ6yQFwjEUa31v2s5FFoRnJQtZ8eCVd
07JjVaVOpM/Orjai6VDUQtulAGy82PFtK33GKsUivGkHvwAhubPs7J648QWxTxl0bhdRty7UPTYS
1nGxVRfGb4PoJqYlnj5kxb639GDpRbVPqDx7kcI3F85q0NqO9KAr53tEBZlJwjgKurT7rmUCrci+
HR9aQVqogH3T6Hrsqa4b+p0hyD2F6bTLdfngp3LIsTg/SX/miOrVu2g2dnYORiYiKQda35bBmMt0
N+nYBxjJFH8k5GfgufoK2EBA7Z30B0KKfWMlkMZRggAdXnWvTX4FxUoh0KXmLycQ9Plkzp5KJG32
Wr7OP7+QWRgvcZrflbBZ/EHVwqe4Nb4Lkzr8MtTntM/iEzpjpmcqwLkqqhm1fbHZZUI9vQyGutMW
0uFNo6nMeyHUuRCcUtaeO70E5DXlHtD9xguFpR5UhT3L0Fjys7EWUBBmVQw7NATuoZsteziak4+V
S0Egq7BTn4oUIIDbnLR07M/TGA/n7dVXEwmzP+OZQMam58mcbNLt4NsPc5k7B37c+mzkan0W5Lv2
3YKXyZQt57hhYUgLNm0uvCR/u5rTUQzo8+nQUGA0HfdC9sLxSPXfYs2V56wpP6RTkEApzVEelwSd
XBbqH7qTz2fERhBzNfoyGNA79SqhFcjQWKXHl2CeBiUfSC8cpnkpz6wiJZugKQysvvoQCaiADvcC
rk+qpbVQADIrX0kqhExnJzxvDeErcWiS3SzS7vtQUeV56ZFmzUfrIJkOz1LNwC4mhKVeI6s3ZO5/
t13Zf35X26vta0oWSyNSCRfHI/EYH0KtKNnRss/YXjlrd2LHwe+9k3U58aFpxBSOZxG9Q2qqmegC
ra8MdhdUZV07/TDKqNT8Vm2yU9ctFNyXHX5Ud01x06Cc+McovllavSpBEMG3bRj6TFLrB2ieh6q9
ZQrTRZxyPJvDwkvUEDGnvDmOCBf7YRk6Xpqcxg5eokKwBgx2Ms7bJ0DMg7qwvbxTtqvPLAzO4m8v
EUOr2f6GBur/gCiRCoH+/VaVLlur0SRf0zraGaCDfo7hmPu1DY+t+eUs+S/yLg7fbDhx5+qWw+6Y
fqkPHurq8Wn7rWp9qs5ybbbu1piIeXCbrz/l/+9wWOOV8nU28vHtfsa0xwEJrdWj3wziO5uT3m/N
XBeBUEwERsrsiLuHS1GHE6K6Oy+Vk3r4oHjSleAzY7sBckczgPjbz3/iMD1RAZw0pbsiCp2ccqVI
PPHc1+ia9clwL8P6mjEPnMvCyP28Ln7OBYKAitE6XtH3ynnRn9vCRZdyUZzAzqTiAYymnBCly2vY
FCVz91LgpRHdbapiYfFI7OFdqo5xGNY0gWpZxXmKXG+SUr/M2rKDwu+O9qOXPMPu4ICXLKo3d6NB
2qQQI4iUw3hSKpHx6DgzfkMJojS20hI1kWd0EW9ohvyM6pN6RIyUsAoy1oWv5oQWjGJ5C1VnT5kA
aTmG7mVuZD4myyvrOju71fKHH9v2Z0CrJ3MsHc/R026XUCLTx869jfFiHEgq17DG/JQtxM6SbfWs
FpAaB7ZRfpyjzNTnUfVspVScqwrF+b48QLRfdlRhXM5KQs+YYs1XW0rHS/YPqH95CcvU9EO0NXat
sjTXDOEMQ6uUj5ppdm9P0jnlHdwNV2GnvFhL93vK4oO9dIcBsMzDtuPqwCNQHkPy6B9ViQFZmSo/
+9CsfYTjBxCjcX5TVPY9rTsEdZ7EPyPcWMgk+ZU9md+HKL6LMLH/FjH5NNYFvVTEcx4SvpRR2nhS
nY+N2YpfZOYdcgHMUbba9UeSJa+UBuG49A1EK7Iluypqs5OuUNO0C3M59qG7HBZKBztQmsZuUbo2
IHzcVfWYHtRmzXe4ZKRKMq1d3IsbQP+j0sTDK7qAdyOtku8hTj8wwSkm6I+sVquVvJIEqiGW13ZU
v3et9k85ds0lHCBMUu2nDlMVUJ5TFx2gsdxFGczfOM0KyK3ZzCQVdHORX5qiHi/Wmr2bgfqOhmyO
7iCVd3VOg9g1SKnC2NuFfR5MURq9gxT8FXfO8mRKjCcMFcH8eVDHwOkLkI1WlexzOTnfJflr6Tpg
69twvpD4jHa5iZzSQAX5aMxkqHHs+9m6o+Hbma09swMwTrJO2kML9+yRmB2sdyrhf6V6NC03/SNn
bhhSLMbdrfIaxZTCPLqIxt4NPLL8TonL33n9F1mBhBop7iSLFO4DtDFK7okNYbhZSgLqbHkmxfBn
1rvTMsfdY2w7594jbJGU4JnngWUhTyTT0Vb/zvmw563mnVFLy72v/ufh7cxtcOtvzXb617u/xv6/
l9gOiyXc5vlQL5QT+oaolSoJq8rny2rUCKLX/vZqW2+GROWkrf+/Xn4d/zp9G9ua/zO2XWcbm7Wu
3BlqjdfdQHHeAxJcs6iuL1WbEIZ06v+MGoNJQLAezxUgu4G+Ht/6n2/9bOOZMqBiKfsoi5vz1tTr
MjuaGBN4W99s5//pK7FLFDngyjXr0aulqTwOTmH4gIii122sLgSze2qOh21sa1S46WoyhtfPoUJk
LxHT2NebutF1T6YOzOfrTWW7SOo7bPj/11iKO6CmDerpa4wdJ8LMwniuzFwLEuxhDlYdYU6iNNZN
rU31FmJ1wdI3dT+lo30UAJEfuqpM5yWMi0CUsbhX88L2KZo9ZECr7wmIi0Nq1NmRwgisZdiJY67t
NN0ddoPMyaWE5ZOohvZqpvnBYY29SDERIi1ZfoI5dsjY8l9KabcHxF3eS5nbqzqkGihsu5hWIvE0
dlNKhK8+ZVN3RgyluLgjsWfD5uYIimoJDFcT3qwU6MdVy8/YNiKfL9p9kNB/wnJb/Y7eWrmLR1EG
6qK9UG7u2WL2tS+qbMJMoykPpqyo9KgIMmk6RDlC7102DOo75nYARrtsZVOQScoLCzy8GRn/pPUf
o+1bdsoAGvvI+lhGs94VcOde8wSRgnqqfpHLR4R2HZKR3t/cHBOvtbc1EIWjfQv1e7edv411vf7u
WoO8br0hqRYqTNNT180uOLUu3lVFNr6WcVhCg03GQEGb8HUbSyqCXcBRt63n9k1zSZriLzI0/zlh
mSwbOYwBDMp6ja0p9H+T0Yrv22XcGhFEFRMU7+uEoa/X8F7mp20Mv8fk2inhzcU5pJrRGYS9+6It
BWZLMpv3thOt6Qmm7W0sspJ7UVJB3YasalgucV793ub1bSgZl9lXa00/bN10bqvXmaz45xXKbK/o
AJU2zOsGcgUO+pLWqX1MW+ZXJFv+B3T7eUqLbKqphd++xv/veaT4S+CQhr7frvd14qAlj4lqHDsb
1LlRcKqekAw0T8a06uc0OE1sY1szVGr11K1NlCpYfejzsmo+Qc3574Gvk7VssY+1rr58DW2vcA6r
nr7GnLT4q2Kh6JUycT1HtulTpVMyjqfkP6++xoTSASKQ7nk7Q6HC9HlaGTX5UdEBw2DkOJKnNsNV
vaV7j0gEBSExw37rash07tmTwLu2rRZx+nAF+ay5wvXkZIyLYxrHgKrX7hj39WlKwJkg1cTeKxbv
hpuDb8PQ5bNrUlQ/6i3I/W7sxftUyvGIAHyz207OpzY7drKed5EJV37ohH0OJUGJyMjOqYoWI5KW
izd7KNmCufHH1rMKLXusdYKtlziheEOtG5WkrrhvQ1UfEU0U9XLduiCmTD+brO8NOg87fUKF10qQ
tVX6RAks13XeNEKjo1oS1G3dCqkX9NcIcraTDaaLFxgMl+1gCKLj7ZvObT3442zwXNX1i7peNOsI
dzvXLa/biY2LR04499hJhiL3tjHMO8MgblGhctnfu0k9QKJhiZu2hW1bmxwdd9jPMg7WjsrsG0Jf
jnbe7lFYzcF+RsmhRC3kLRrvdS2Lvas02T4fV93LUTxIElgUf7U+qEBlvSvZQHYqV7+hBcrqPpfF
u6VNM3E+s5xri5xY3LAvSwLd2V67gzJRbHHDjybv83cgwtXd7c3D1mvqUb7ZxonZMQnE0hxsUEFn
W9dd6FuZdpzKMH5vJzJZeUNJChqNftTKyPZjagJrls/2B5AuQZKb/Z401pobcwjni8fcG6Vv6kV0
dPWdWFmoQh3kfWv0/GiYyrNRym+9riT7yGnmZz40MhzVRL46Z++iGNAiU4rHfiRqqIY6GoKoZlU/
u3J4CcNGfUsjlCZB3HjSdMNHQV4ra4jVVaXh+5k10EVrs72K1xhDVOZTVEb555A2hclZMYbXtM1/
18Ixjq1hQBXHqM+bCXEvRVP8Q+zd/nbM+DZMhfZXot+Qua3FZukZb0qPgBzLzrHrgEtY6LLrqE9F
K/46LqUXOZr1bqbtKQHI+1srEIZTXnLXsl51UV2kppb7SiNPWyppGQBgqSl6J98I+prD4EBkiDs3
9kKYXS/mUGFMl4jkt4x/qtEiDm6rrej80tnNKjnCEs12LE8ckrYqyFi8czEQGMu3sU9XdmEen7cu
LgJPlF60K8x78RL2M3WofmzgahjTSyLNlV+WtntQwemxbdAIsZTyaAxZ6ae5kEeSfjIwV1o5O3Pj
ldCfP79Qg6RAsQMEFaQKhX6KWphM6V1C8kZ4pn4fle41WpiBDKbafRTq1dOYlqC+FK1+x5y5fZZF
ebfYrb0Pi6Pdu1bfb8cQF3UvPYYs3iT+9EzO72Zsuw90kT0hdOt9sIz5sSihtx2bEIIj16z6W09F
b/G1Gcjcr+/Dj2F5LfUy2Ho4tdavrZvt47C20EdvlDv5/cN2rHct9W6jhf/Zq83m3o3LyVQzFVkL
/Zg1+XIr1qZTRzweOp10Db26b4f94CgCLSNd3CZds9nzzoVHRgfNgG3QWI+kFmvMPBeXQpfipo4a
R8O5WwIzwULjs78d2hoKmGZbDbet83mpomktiqoVaVSsdY/jUJCWbOMKp1JLxhCGUA7butX6BygC
CN69wp6pWgAnojt1Omcvjrqc+nh+++xuRzRZD+fEym5FPvxjVml1Ksh43Yah+U+DAqYd1Jlo/P9z
YFTd6Unno3yd2xm2ZnjtpDUeAHKkRdarJB3JoElPEQzAeuDZyJxpHw+QKbVcjZ55kiAJiGGZrwnw
qm1sO8+Z6+h56+JR9wLjjizD+v6v8aVpkS+SQkGXMZKEciEmx3MYwzilKdOuBGAMxXLMa4rI61hi
MnsiBBQB5xDdW2GV73XYxLet57pzuEIrSza7HBy7VDkoo0jZSJf9mypK/UnU9jcQIx2gF85ogKWy
OX5snVhSYypktly3rtYB5YCMlx+2bj2X6SkcXZDD6zuR8SyelzH5/MPbkLBmP5F59Lr1rGIkxTqi
ibJ1kzGdAmGuiej17bGw6jNcDOFt3Vy3rRcJBXfrbZ+vi/RjLgr5sn32YsV5TVaqnLYzmhVYNOta
HWzdOlYXbs2y+byaKwpkkFKEoNY/tV0tCYeXvCbFS2GZ0pqllSq26608C4oFJJLnhrnarNqjKqgM
RULL3+2JOTqNIvsnAOKL5FUMw+TFaK3lX/IWHzOZ0O91D12Eonz8KNF18zDlqLyB/coNBEd+rCsR
njtjiRE3V5IjdcjyWCHi+awX6UeOPNsfzGBQaI+nD9up/5RFJbzKzKazhoXks5OCviH3k/w5UYhv
yeCzMdAiJ73lU5mCxImiCyXSQzotb2IpDQ85TuAbdS6euqWvFq9oNG5vntQhL563RhEifyYbagCo
+mmj8OgPGQx0Z8RkjYTmAOAK6DkcOhWNzR4Wi9tNF8Dyy0m2za+6zRVscYr5zeobbrvpRQul/iGW
+He5OKjoZ0/DXIf7WMR/m77InpM0Qbc2t5U9NH31o7ZSjaC122uOLt5jcaAkln8zlmXcG8pqXKjk
l0hxfxOuq2dTJn/NpPrVT7FJeaexjxqIUapsTpDWCI1NMs1RYIL84MZG9mOkSJTPlgMUqaFYafNg
Z83k7vSY8lIDEOC1qg5k5FNKfvF+7sr0kXeoE1Ml0L41S+QeLZfKJ8D3PGhi5DFNG7DSCBa+bYfw
av1wYH3fxlJ7xUXlDBG98ahCRXu1IiNmIXdJ4mUi36sSm0vbeJ6mH3pHkHSvOuEc56JH/nACoCx9
8ozKUVOoq8FpavZw53XkQULj/Buoh3rLyYDt0FcSu1KUnoFa5YnlEYlNEX1vCkc+Fp1FmyH92aZw
D7jbjsmY0ijmFF8nN/09l9ikTyPauctS/7tAg6k73f0R9VHrW0Pc3SneagcL18hzZJVk5ZPa2UWl
anyA/PyFSVL9r4kKJrWgv0nfYzBlrz5qVY04xNj1nopIHc4r0fiqVlry0oBS2Xpb01idtoc4T3Js
PWNrwloH6TK5lxCyyisyKhqwv/QINiJIxUjAo5nqY6a0Grg6te6tayGkeCtS92nrDaALH6MBGXsS
w3UbMmAfHOxENLvWybSHOxgdKE8ARGtvG9IMC8G3Ls/O2xvW1edksDITuyTHSgtXtc+6f8whkFYz
qe9bryq0KMidsNxv3YmdDfXq7rz1XF3rH4mSgxCwh/lzTJ9d7TS4pQDJy9W2hqBkz6NRvGxviBxl
DrImU0EjcAZRdfrS61Qf1qspazONJP4USAOn7QxS3eM5rFCB+rpk5ORnxFezz89cJGPlJ+78mFPS
HbOl6Y82tNGWk/E5L2JWuqpL/xWdQFea2OnVjsVrPv6p3cV4I6fpz4Y1vbJOGG/1VP+OM4QmtmOk
aFUfcUr3CGLUfBNaB55rwLV9O7c09Ojc4Mngb0dHlUqP2iYW9vIvrPc1YBg5F/grEEFARUtetwZx
lCrArrUKsv+O6XNSeFHjIt4t9OR1jiZQXqGL9rd5yOPEeDhVbzyyRWHSB9Ny2rqp4vYnbQEesp2i
jcJ4sIDNdpF8nl+2lJEnVFqPYn17E8k9cPcQQXS4bY3S269bk6Uts107Tic7Su3XDm3025Qq0Mx1
AGiVGcGOLhbyPOs7yAjGd7Tk2NOEXemD+m0DvqApANj8n+vJ/t+qUMIAZj/AKH1WXuHS6XtFa/vP
7jbWmXInNdazradGbXVYGgB2n1095F1LcQgBbjxvQ5OxUM7rU9XHGS16bGPzEp61kgdj68lOGY6d
JSvO4I9uzSDm5xpwyNPnECzI00j87xl2mbzYDo95h3aWmHEEpLZLpdgYo9etcdX4oFbGctt6U+i0
NxwiDpWeJ5m/tGsWWDa2tx2tElb53NJJnbVZuv8aM9zsr6uqLHpD3d41fJC9v3a/t6ZWfd0a7iMU
PAaq1V9joTm+y0Sdrij6qK9DFKZXqYl/vk7I2KegvNG2h68xZ0faf/q8aDuMCFYgI+Rbk5ivepK+
dJNb3FgDCzyxivMACeK89TDHFKq3vXTz+FXrzO70v8a2t1lt9Ut2YbTTavzpkYS271vjSLKENoQA
GOqM1aoCSJdajBx3GRzVh0zD+hFmNek1N00O21iRlOQqUyDmcVnV/tyEuPkkRXjaTjYN50dUoVJs
mMB/alV0Qc40G0R9Ih9yqV87EoVP6L3KR5UhcmvGSuir0EHxehgvdm8OfAEcjIFP7SikgpTShHyo
s0yf29Q5bQe3Ic0xNJL3rXvS5rG+zeZ0ETIe+D1H4701x/rsTrIHFTRHxZOM6qCsA0Ud613b2nKn
WdEC8Chs96Zi2E9DBkUjHfCjL0w1sETzrTXCCj78cA3r4ckaIhTbY2pS8BJ+hX26t2IEDzKLnU5F
BIDhenOcEgx7nBIEmzypQwRzQonBdKuDvuuIQfyW6KN0f7SpXngLKGEfrxCIpCGr+VbtAx8Du94E
g64q4xnExLsm7eQQsSCQ4FaBpANSHgb9oi5ozXWaYlBcgJ3kKId80j/YdzHZgF7Y1YZ6K/r8NCu2
cm36GnrsMDqnYoAAZxjvaTumbP8c9smgPYshdh5LYWnnmYo2+Y6OZKJReUU5d3CmPHUyejRpyNZD
J2p3bj1gurywRrIZflKHuxa37ssqwjdDYhBzY8J7jIyr2abqXhmRC66SDzRd36gI7ZJOq/eV6JzL
UBizJBHAy69mHlGAF0ZzQbTsGwiL6RSq3bCv8Xj1QGqEt6H8w2XiM3Irhofu8+jbpkHltlK0a0Gs
WliTejdyrjw2xXKxEJyNYkAihbIEFe6qIwTUY6uN8iz7UAaq6Yy71raja+7IZad2+rdowj8AxFQf
RHi+NOpS3y3gH/dGN9+VNGmO2OZ1V2QSwZWwpgR5a3fXuqrIkugj/K0l9KNmHq4ACY69RJCxk5lf
yvrgFpN7Ko25weEJQJQYzNgzErgRcuiPVrMiAqNeC8wRHywAwr+QavrJLFccTarkPt/W4AOH633U
2cjgcd+IVgGul3XdRaNFJwG4FloS7Nh7g9XeELBt1F9Nps/w6kx5GQEanJQ14WG09y2i1tawmhCF
26inDpLHCLOUGJydkrFT3/Xi5yCUW57D80Ucxc/TO+jlfxfHaM7U31RWwkyiuaae56rRXk0YHia3
PeVeIccM/I3d+EYZJ9e+bKJzNBFhFBrP7xxXPvRO/AXdcb1764KUlT2gSWEn7zP+AIGRkUMVjZSH
WMy/nNWAbHLwpyIV2MWkQj/BDi0ENzkI+xQNMY4QEWQaDV1OrZJrpuQbRIDSH9PkT1vUmMQm5pG1
fMhArCBvJfd8of/KHIuYiTQ81QdMObrGeiExonsp6LIdlqMPDG7hmDmtwUNsVKdYMg+miom739D6
dU9OQJYvaJqq12E12N3Mc21ztijVQ+0ovViPwsDsQerFms4ORbF75l6rDaIsc3xAWfukiv4oVB5Q
YkhQFCKV8XuwxvqjQ9acRfvYlyG+Jw6cJj2iBqJO0FNdwuOnqAXIs9zZkXQ+dc+mNrGBzAtPJQeZ
p2rMn7etFUK9myEXP08uCXap9zNV4egVYRWWz64BoRSiFF2jLHWdQF5iRgQ2i2QsgHEVDo/Zkbxe
8mgv3FV9thn+RE5YIFBmAG90dIyD0ZgCeBge4sVGbx/CvNdrUJm6vyOkwQTYb9BiYBlLYZN1tj2z
7FQfoekqUKsehHKvYMCiqQrykejFRFFIYaF2HnMzv06xaK+kGvFS7GdE0YruGfbyK5nm1rPQkz+5
sw4KVA+tky2csxIO7lnJQudsrTidJu1/to57rROmWbPFHVTNm+a4oLDUaTFuzJVzaPr+B94HBpxg
EQVKnc1PI15FV5vkcbUSiKNcf+S2cwH/MBNlr6Zw+vhjYtdOdiMCvoRjoG70oddWkCiKtCFR0UUm
VbfaOjZOU3lWJroD0PUKUJxrAbphMdhDZj7bJUUpvUJzC+nYR231DlmeSttlaXqo5848DLJx/8nd
N7hMvdqFvxchd3DeWUvdFSKj/E6MwS+tIjrrUzT5eqO2O3bq7nEAeHawwIGCO6EkpYRs3noI97ZV
kfRQzR0R4JM7WeNLPqJRZNNDTAYzYTN6KwtFXL6aZqzsz64g8j8JCUVMLtbNCokd3dECx+gUAD0b
192HGPj6sYv6msbU57Nl9nQ14lEMTeOyyJSyKdHHn7zUgzLK5rO6IN+EUNRdS6O/1uoQBVXnionW
djOyO2MhXptVPMcsJ+2qmrK7jwOew126ztz03Drq7jIh1G1kfqgjG9u73OZnBBN2Ujr2H/2QE3lY
yUeW6+gcmtWLZUxiP5UJ+++1CZ2nxe3hoXVaGrT9Pbfb7ByzPTjnoZ3sjAoCAGzs5GIJ865HBuwN
d+KOwgRsBHFFfi8NRkXeFz0kuUYOhvsfgTOtOG4YMLFWpKEKA0s0rdXrCgTmfxulp140oG2K5yuP
aoykVliD1JgKtyPNgl+Djez5WghQFj3Qw7PSYLgFR6IPMheOdTSAxpqjcWbHGfJeUiNXBKVP3KjV
pTXnl9VpHGpHKHYTqjQ+dpUT9xx1v8HkxzJzB6CZHefwSnqkJxcNdJFrVhcQGcdxhpECXOnWm/1d
6fB/Ks002+l9Uy7+hpmLVwK/Bf4ssMe5hFOwOLcp1zRCwb54dinNndO2+ViAG73jtQHasPoZj0n+
rpZ4wbjdH6cKubm3LIG9pgrkorPTybmhbNfRnrZmZgkDYOUqu3A7Gw3wiKByaxXAniFIgVmWmNau
V6gW7Q1/6PJUpDVT9tTbO2mlwEMoKQCCqxa/QjEtsSvBcyF8kynvadSg9EqAAkoPsCpr+XtIjoRP
KQnWY7bEHzFScIiP7nFdrHe2PUFwX/FGALR32Ow1Z/R/cwX1Lfkv+5ru0o3FQU6SZRJUYGZn4UHN
IAl18DilPNnx96qsjW9IyKPIOb3qWWQd81F5XUgCrPRW3NzN1Xgg/aH2xjF1p5hq/c5NF/cUJ9Yt
pZTm5zqySp1aIvxngBgXF8fU56uWp2+Tyi41biJkFGMow6tJUxOia5O1/D2gQB+fChBRIfu9oOAN
lqsWn8IR+fxvP9raA9iugzS2MrMRMJmntRVXX+ZDu6ty4b7AArCf1fltAcH3YgBGEGXU7ps0+1YT
GCBfiYXiUFNM3bpLrhfEfHUBQFPB5bh3YuInIwf+Yu3KqDf8pq6GI+yI6q03ZXvE5tPyt66e2S14
Y2l5cau0T4TL/D9dL3Z6Hf2ZhTIfqjRfLgh/vAwLYG/TEdlzhJTLc9RqksowUpj2YOeBJUVzqKGB
GxHsDCVDYq7g461MDWdEKtiOKTJWuPAuUxGwi342yHMwi++K4rmPAYv9LMUbpmXdqVgxM/WKq4tB
WJxM+zlZcaPSmNUTwIh4RZJuzawnH4pihEH636FtfDu9WB87ea4jvle3g06HQ3hOuwE9Wx3ktCab
aBfuZ9UgMIzf0hakQPiY2ijfR9B5RWfALRqnB0LlqBviefepq7FhhDbcUGGyYXBSGyXvVXtjO/D/
GDuvJUmRZWs/EWZocZs6K0t2VcsbrKdnGq01T38+nNmbOvXP/HZuwkIBmRAEEe6+1ur8FJDk+Mfk
NsEdcVnWfGSxyi+RrLzRVgWW7CLZZMaCBAqLvzfUBdG+bqvDIFQq52kJKWQtS+BQT7h10KD14O8S
RVvsCNQGxGId8ap8d5T8kKiB8zL9afYDUczLjWuWM0pui0+00VqfjxKqKJXjnE3ZRXpGTsudgRYx
+Pv4djmJ9NJCddrZTpYe5FcmcE3jgIX4bFH1OweNehaGEcfbA3IfrsRw/uqW5zeakXPJYaMWd7Ak
idx/yaKqHODSQvhOillWncNS0dGfWX5TTtxngHbGRS4pP8MLnsKoGiAn6aujV5Z/ynHpGIAxXx7j
+oSlUuKlch+vi7WARre6sdS7M1QraDIR9LHG/spoAHaLh3qc0vGo6vVPiQeWZCCMuqvB12FPhXIk
qwYbMaLKSZnj3eYoTu81zitUgx89yMWj16B1D40D0MY2aV7l2duJ+zRg9znNtcG0bg0RfHss3XFv
FXepw/avDeFs2x4ascM6IdRNcJDHJU9DcqXm4taVrIwCK9R9/Mrdziv6/A5dR4/oM8kuCUAExoZy
rjR2UfALJjOBCIQ5p+xo5uO7rBztoEhBJLJr5Hdrdk57oqHs6CLXG5sGG3VziNvk6zzqd3Ln1rsE
tHRXWOl0kHstdyVpC/b/rQb5yhJiLc9EjpCc1K3DQcqSGCmKIU0XEqIJ6ePQfZIHvw5NuTXbaJCW
GsvnriKG/SC3Qn6k3tfcnzYo9D0WdFa5VvVHu8iGQHe53l8zd/qZwCvjhCC8xah71aq8BWkbnvIZ
oHOrT5/0ZeqQz3YW2855DmYigZHj26nAOWHCbeATspK8+H8u/O43SBbZK8DueqivPdenB5tMTqSJ
oR9kCpDvewfd+MUmIGv8lILlXW/uGk7x7q15F1Tx8Q4auPGKCNTk3JyMMNfmY+yGP5QuU4/bHWYS
vNMdF0j3Nrmo/XOGiOVJfkvvV08p6sgnOBr7ed9k4X076AphHss8tLzWcqTk/rXO68oZ4oAwOchI
6OP0xBKGrcsyEPQRaicTjPU2fJYOdjXTwdT3AxRsFxnBY2cNlym32JZUx9wZED5yl+DKf72uXaRX
PyRW2MsNwhWWgJRt7M3xg6svAYxGYdcLvQ3T2zIty0iS4lZXYP1ZZiRLn52j71QDMSvpsxMozJHS
X5LtbX03RNestM+VN1y8xtzLSFgPQVbgrHxpGxwEMheyYW/OMHRftzd8G8tSJ8VgGYVq358agvTO
oROdpM2UwS49tuM/DkEpy1OT3HqMlNfsh3Ypfqhbh21Z2fbfUw+ycjj4U/MagJXbpYTHFClBbr1N
hPPy4dA9gKaBzkZ10k/oUOCnZ10gT3ywdYRBnad8bl8c1gbsD+91LBazWuxaoBM5QSlD3d2sJVZ1
HsuXfHC7k2nOLCUaXT2oQYHtpodgZoeD9yTIgilf5CLNeagPQVQ+OVn17sHLVWUcrK/TVpbKbZhs
Y0W6FEPaXnrkB2UwSlIv07Xk9AT4khmDeZK7LycpiGeciFlh2PU+sPq9vCWg2qmV7LvawTW+5RYk
SrJvmVANPgKq+24LliLkhnWxkl6xgwMNiZf4hjHRP0c94e7QmBzlHksijz1elicQ5bJHntI/8km/
82IjO6nzeEvMEoIyr7vIJKMxa7dgdkvYcw9hEaxfAKP9E1B+dpUTypOXHDN9u6Bh7Gj4cx68Z+Tl
3DVm2U/sVx/Ns1MuI2KbDFRNda4ct/0+vR21Qz8BvN/uYpk5zKTJ8pnJ3Mw6+BZwIQGVgAv4Rlyy
wUrcg35UuuBbA3JiwIsyatZx5TGTxRbxutV5cp3rRGAO/twz8Eg4iiN7n6EYtq6u1l1UpAUFPjdd
WydhsNSPtZEYJzm//C7fjsZrqz/NRt6eVNN4kae6PVrJ5V33KzamaDcWBUz/QMj/3qBtE4ci334p
rws7tqclijRsH4jxP2qZnYPOb/PhAUJ280JoWnUnqJ0h6qo7xsLvMsyy9fnKk9jmmO3B8IH+C+3x
nTl59cECIA0thmOgcFLwErjM4AcYAo8lt0yejAzrQMX2aBEe7Bfohvx3MpcO24y+Pcl1QC/z/XYT
tlbJSZf//6lYq42glx7kfZKVgvwYKa5r8a0subVyjpD9YEELMYMsdJXOvqhoLEoXuey65JIsCpu8
amsWv/bfYfXrh1J+57tVxnpsmbt7wgLucQgij8GHXtavOEcwXctrsojPz/tgMn/AtYI9OeyTS9GE
oXqU7mvWX76gEcEgXZCu6zgZqbKi25KtbpozXA4aTJEaYWLLIkz+zpasUZJSfreWXX99OY8gcR7G
Al63nnxDePrJxks17+HrLXBC/eHKDzHrO93V1avcbFnUSW6791sdjiA4rwMAIFtnufpW3I6V3PYY
t4btfB+OjfLPHUQdzGHMmTJxQuFGbJGU5c3jjids45f29cfPpVbsImVQ3y0j5RGuI2/+GQC0v8pw
jXTVIWh6eQZh10G5ISPln7Ny9DpVEZTTXNwyPXyEggQgRbYt3AdMiAA8pHVr2PaA0iDJ1k+Kg/9r
0Or8uv76ZSSvYI/tnVnXM+tgllpPzzv8J/997yS39pLsx7IctJ71Xa+PF/h4lKLh2GjtN22Galbm
lW31IMf+U93WRVrXdbZkt0Sex1aUnBz3r2d9t52R3tLxw6X+qe7DWT9cKVgmfITm6i4E0be84mg4
46uo5nWvKi+8JJhSAGcCI2LzvpjZtmSrmzM0QYHf0adqDbJrJ5lu5eRb13ctkvXNgAghXPDriJaX
ZXvjP7xU2wu0vWhStx0mR/xr3YfD/un06+s65wu4v4iJ9hsPLgptLGuXtbB8uLZk3clu5Xe2in/q
/qFu3U8sp12vIOf50Ge9wpB495oy/FY7L9zL1CB7UMlt32iZQ7ai5LYF2db5Q92HovTzewgD+l9a
DSVCUtgA+Xg58b2zvJUhvGalVsozpmy21VmVnXSveN2md4KpgI1vZWVeYORSlpmftVCARcnKLHc1
HfmB1c57mR6w/kPJ2sAM/DdcbZ00bBUbgswuRTkDwoT87SBPUpJtupWiDAVHNv1bn20YbHUfhtB2
mjFoUkwWLkivQZ3NQ+fo6byX/W9CgAHmomR8C9ohOq1vvNyULVmn1a0st+tfi9KwvbpSDDCk/D19
S/nDGaRuzhJiJ7SE12ib7NeF9douz2c7skGrhM1bdrUwjBiLheTdznHrJsdKIguDrSi5D/1kEt3q
3v1xaflwyOBVynE2HogKfK6BUqAaID2wlBsakRzLh6tEEa99lanLz5Isu8idKZM+zy6z6uyazLEu
8oS3J7q++++Mme+WCltXycnDj4oei97aaTVy5Q6kJ0YcQZOiw5U9zF6JOwY2F216lFd0tVPKCBhn
PW6+yYv8t1WrVoMj0tm4Thqcg3meXRMogkGJA1qTpG7wVu62sm8FCvxnobUrF95hZ7YQIGNC3iwf
lq4FZ1P3b4LZtnAARCrcNXJX5bnUGVAmvSreyhicieDJ9eUBzy2kO+1qz/xw++WmvntE69Z1veuy
Z5Hs+ppHOCdnz5yOcpflslsiP2Aryo39ULfu6qTlI5hz6ynN21/Sw1Df20jr7ZAxRCouyP0vXRGP
ZwMiwKMOYpYi0DMISIsrOpO0Wjq+M8OBpmdp9TzCPPUkQbupDl4jLTtryznUpM4eyqBud9Jr7rLx
osyleVD7jCC9YSh2TcSrLomXuebe9gjw1Igpuk8T96RGoZUfoQxCcJmd/RGrJFHDk3Nt9KB5ApOF
rxnSWIDnmYN6Uazep/74tkS0fwoApXwCf1MfYI0bYeWgKHUZhEdZgnuiHmGBiO0q/RR7DsyCZvcw
xXAhOIQtnHR8+2fP8ufntGp+gXe89KZWfhlzE1Wt1P+RlyzJa3Tg7/xAJVI8a956b7Z+eljr8ez6
AQ4HrYUdZxh2QVPXX+uZmF625OVnXU3tPYw6hFdF0HapxSILYGJKnnOrgr9JVQ8VFMEwQ5XEcSPE
WD2OSwumJMQEBhQFwkQ7N4VdPs5TUj1KTpKsKBx4z/IcYmGM8FYRB4eygn7In4bvJs6zc6suVH6Z
WhnIkcDEcVgMwDvXZ+cWFzGs1yqAT8NHSFSFwfDQZgUxQV47sB9uCveOSA3cax7G9hbWr6mfoudh
SQC6RM++mvyAVlO5SlWZIdIN7yKsXAXEZ4aFt8YJnhvYsJ9VPKHPqaJp+2kcA3YQNMS2R2hVanMv
cyRF0ZDdTcPQPWpJ5z3NS1JnhO3ZjC3Q1fTYGkI9S/da6aCKNuCdMSfE5sZRhxfG/2tKovlxLRHN
AfOvw5jbjq8iy3uCZSbaV2G7g/fUODqaZR6mqcnheCOYvjA08852CHUmrFU76LaetDuk4KHBQAG8
9MLyvgJqd98syVZkfJ6TAhvqALWRDTat1O/y2UyNvWYa2p0kxRT8p7LoK2U/eaDcvTDF2AypwVvv
EzDq2mP/PRnybwaudOLCgfvzbpngmYlMJFqhqGCJ6ee/cHd+DfNE/z41CdEKEOK8BWNG2DU8WE+z
hi/ZmhLrVrl5f6f3cXtJ07h45BFoQP5b9VMzKgyuLDUfVKN/q2ENenCj5Gmwqwboq1J/inscRw5k
j0cpSgOu0M/Qr+fHetz1CHfspqV7rKWI8sXEci3H4cGmylGA3TJnHN4dbOU/nHQ2b3KqujG1R8cL
L4DDUOrMoEU78cGpDtsvaIPkdxjOyXre2pjbp6Zrj7kKrc3eR2K5D7JXhApnjPZFw17ZNm8ALZpP
YM/7R0zHVykhtNt+QrQOMFQ2Qta09JA6xyg/HpS4b6oLHxeqgQRqA/vBYrFkFRB09/Cn9ff1gFm5
TGE7kQYHJosrNJgJ0WzcCt1U2jNkm9peinJ7slRdPlUOMWHL/bHHkUCXalnoxWd7/L3+nTTJ/bNd
1GDOlvsH4TQRednkoU/PmBkHE+YUyUpSBTMI960so21soZB8VynN0tIB7jgMTwTOEIEXwHONrf4n
/KFMSnr9ra6D8NLbQwDHe1j9KMuTtMdDWJ9SHdamalYcDNaKi1o49sBrE0TBfbckQwLviWv453cN
fZ8iJ/Ml8O34CIQhvpVjhobhkkhO6kx22QWgABjVYi1q0Bv8l45yyNp7O7obEQf8vxySugPxFap2
/niatisguX0ZH0sVa+D+w6+T3nKRqSj15j5tFxwFbkfTakHAwkj5EC1JDsHEgxQn34exMPIHwOtq
jHF9aS5VmMt3WyfJoaB348PX4Ufm4NjFqhKWlYcmxqQod84Xi1B8mKWk9cOhUpQLt7COXhyIwNdD
5Wrvjsh089iVBGh8bFh+1VTGgB1f5sL+liJPSuTS7Ka3dqrSmztGBJxoMG92GX5GFW/FMSlC7VUt
w+He1es/8lBTXwe7UF/1sH7smGAf8U2DdIF0kK9fb8D/5dStfrMJLfniZpwKZ075kMJm8CWqlK/g
kYMnaTTL4MEvYvtZ2ogUPqYA6j7lS8+x/pIMmvmm+VHxWUuu0oVvTvaqNg3wy8ewTqf7PtDSh3FJ
IPfTh52Z1GTtZt4xZxONtxSlD0BTHDm++5eaDKiXutguQS6lXzKvhkdbM9q9FI2+GS4GqqmH0rRg
xN/ZVtd/QvQK6iJr1I8RgMovTY8sggpe77zgK78QClYe7Mw3LyOSmc+lPb4RQtN9t8qfs9u4Xy3F
be+yMoI6yda7781MIIXqWPkzJDpw6Yb978Cx2++EbOmHOUZF3G78N43gMzhs24F4T3Jx2B5npGHB
C/+nCljk340f6nTLISo2m+/LwauP6LWVMMw5xVumWPZdk3YTnNt98aaDmP6E9PtOGhXC2N6IwPgK
kld9kCrbb/AvuEN5luIIm8RV86ZkL8U6ds3nGS+dlOSM3aA+qHC96SCib8E0E5dQWKFxq+GKARZd
+7Cw2fkDRve4OxCLB60n1LLHyh+cO2npW987mtpgMe5QO5l9Zh4IY6IvvVr1ezA+0Z0UnUi1CVOI
+psUbYSI0IHU/Xspzsr00+Wb/yilqc+ema/zZyMmvscfg0sYDcpLmrXqQ+QDIw595KqGvHom0OcI
7UT/Unrt5yRu1RvBCsOLrre8KjGs8lXi3ksHqYcX8VQqdfYoVZKYsBxFNgCGutMRXC1Qj83s4EW6
x8DRnnPzpWmKk9u5FYKF9REa8/JmT05xizrAcgtZcHlTVJKmq1xoZtXpEHuoaOl21DyFmoMU+GS9
wRCWfletyjvCm1lepAhGh5B6vfhSmiOUlEZPLMHSTesnfwenH1E1+Yi6stoSKF6l34mizs7A8Z2T
ju/ju20Zt9xVrFczzJyHMrEIsFi6tZP610S05JVPm/bAsk5DjYicuySzlvp7LHgN8bv/qdu6SM5S
2r+qXtfO/3S83hIA09nxUz3OzeOoVIRLFy7Ud0R1mXyJ/spV/7M5DvaXxhnhB8r14j4LDRtm4yol
Im6Yv/aV+yJdRyO9ryPD+1Y3uXpw69h6SEsPAZa6hi0FXtjPwJF+KZBfHeNi7xI2dK+WvFTuGP/s
NALELMNtnjyzC+4U20nOURqqr7Cq1Ds5vTN/U0uv+dXhNyKMyIzhYZyMCzbbEtbd0nrxbDjHed0d
iC21fJdkdQEzLhxV9yVz6r1dhofe1+O7GnLyvxvWPtJcbrXgSAh+hsb/oM6BGh+kPSTu8V7OFjsu
lXYFnLByzOtalGbd05LxxKsdrT0DTX+xzMQ6q/YAdns7heWYN5vw8jsntJRjqhU6slSDc7GI972i
ddPca4bpnOwkm54ndFwOfas2n3kbVUJ/XOcHa+cXuHmU34335g4JS9KxsE4vr3ZbmL/AJEIWaTLP
M/p4abPEAaQSzMe6qurHWG/ri2lUw13kthbqvn6JLEHnwI9FsCoTH8hMvYQWy+/973Ewfk4iU/lL
IdJyvVCWa1DFFdafUzr8DBXF+abZTQbbsTa/hjbc4CxRgicg1O45W0jFVcVPb30aW2fMAemTCxSI
GOfGwn7GRGb7c/idCfgH4EPlTz1AB5noJFbYLMKTwDX/ymBG1rv+LXi1jKb91HfELMNT3Lx5LXvC
rq+0J+I2OsJzUFgCd+UcMK75/kXXDTSoRmehNFDT7DZrXXaTnOPUuAChQHjoEmhd0K/5pDmD95an
3jdtipUHs/c87gH0vXWY1ndS7AyY53In7q563ENMpbEuu3YloW5F43qfAwDpu2oI1Ye+Kv3PUT1/
161Af5TSvESAO7r1JF09zblFmuU/Synsg3Oblukns9D9z/6ML7GwmtfScJzP/nn0M+d7zKfy3I5q
e3baIfhR6Od6qO0fJRFZSOZU9WUIhuIbMnf73orcT+wj7xF5KB5rX4E8PwC80fWhtlvrloaowOOM
su6CZBnPkB1NvEQQrxmR8ZfIHVqQqYVO0H3eOjRGbRwqu7NOA5KCj92SMDCmQ4M28kGK0oDDtnhs
ZtS2kKy+EezElYOuIroBwdEdtrvi0VgSGyrem6sYD7lTzZ+wAnzrymj6MUVLoEcLngMeKCj3Uv1b
PA/Tj7GOrP241EdL/f/u70K5tPX3XZ/zEJ62bwIXwrf/nH+r/7fz/+/+cl29GkBue+bRzK14P7Bh
fymHqX7RHVM/20sddBn1izTkbH7XOukCUWTzUi51H47lywmdleKdY51voiTWgrb0qkY9MTKyv+tU
5KO93Dxt3aRxjD1vV9fgDYLySclaC8AkmK9Rq4fg6PCuH3p4bA7ZqBVPkowmz6vov+g7ramOepio
90EFEI9JSgowtKv37ZJI0TYUQPdrOasOPds1uB7/0yr1W1GOkDq47W55REDbVrWeaSunTHrz6D6V
3K6fPfIfMJJ53xPwTAyqMr96PlhSfXQ+TXbv/TQgoMNa6A1PlusiOJrAt1KkaoT3FTQxwONrUyon
Q/fmrzAyDOeOswrh6RdgWVe5RpgRztdXrfWAErb36Hcajq7l3IhXPOnctc/EjVioDhjGSW/a8U6v
Qzi7/6uws4rrWGEBOJfNlzRI0sPVfXQJsgKJ3jtXMzVLyHVa/yVzEuUFgujuoF88ZMSSeYbTxYA7
BhJyx9yxBAEXE4/1Wamy/szmD1p843dltj+gGBm+RjFK8EnX9k9R02sXNW6zqz+m5mMY6GhiKOX8
JQ3T3wQdZr85OEQO/k4xTdixkP59QU/mbIxd8FgVTfNSLImhsjwMC+gSlw6GvkCRGkI2rLZ81FJw
8VAmq8fBK7pH6S/dEHg6Iho5IYAGOU2yaLITMo+WbJ+8BJB1HNGlTJ8hHUIgwkIYzejU8YQOWv1o
BV1yroDWPCQZoApjNOd7xyWyGHS8fXOyIboWUBnfPDOyrpg9ijtvmoe7rBrHq6JG5S0zCoR9/D66
TxofiqfBce+TckLrtcZIEnWJf4rbVkWBQa1PrleMAF0hXYYAqn/GP1Ee09jpXnzYnuANJnaQGYdo
oKrvX+cOqR/Ence3yIIeuTN3fRdilAoK9XODD3ofjqrxZXRduLzhPf2K9ky/q6JpfPDRoYKCOk8P
1RRGMGHBH8e3CcCHn85/JI179NEj+4b3uoHXJlqw9nP0Sizp78hW5z+UxPgDwy/wcivAUB64+ilr
+Tj7g3nulzO4MfodxIGVSDyMbKjsCZJOQkz+KIhL1Dvzp0esAVvAbLjBjTo+14mjL2z8M6Rr9YNn
TR1UyLwB7IzKS9ZoEMlA3jc+xrC1sCgfL7mpRG++4jmPjgaaVoTgQ7MHcmf5w6VPh+mbabN30rTg
zS14U7QpL6ANUMdvEQGAx6Ac+oscpcfJtTYG7S53tOGALbG4AxEUs1VdIoMtD0EOv92tVeYEIaJ0
kdy7SntpkcqPLVv3MRN+Qi6wnUfqqsoFh4YDb5+hGPholS1Sjq3SfekQsLwbfTWDvoJbksG3jd1y
AOmxFGG0845TW6BzuRR1cwK0ZFrFVYp+Wms70InxDpEHQHK2w6ZgSfQ8RO+pNKfyNnpJhYIFOUm2
PpKTOpTG6d3ohCgNOdFY/4fjZgijSgDq/+vcUnx3aQcdgSsrod27uu0Quf4YlfNdln5rpjB8Y871
d0XsWFfdB1vR58ar6jn+2RhCZT/nPGbHK+JnuyouUpKDTMN7bbvMe7As5QJ10fzodQ2QwjZvv/aj
U+2MwQl+toHyBqDI+9PUtFPuMh3AA74PtFyP6AApb5fFvzFmPMEOEv9RRXXMZ6dpvy1y9/vE6soH
7Nw3FRL3B4AC1UOuVeEJOtN5l5hq9bA1SCsLrL/7mUjyFK2zV7svhMig3LycQQ6Rjluxt0dn5ww1
Psv/XuTDqZUxAS+k+19SYlQhzFwusp1AiumgXnB+xXcHd1Cc+24MECBCOhTFF6UPgZDozrMJk+Nz
ai+zr1YQYWCG7loH0hdJpdS9OJgKHhwV4ZJYhep/LS51KHUPD9GSSB0hmNoRXTS8IEvr1iD9pK6q
1exkDqgCSLG1jfwYQQtz6OIJ835V/xEBXPAKtf6uBRPwt76cvjglm/Z6avzXfM77A6Fi/YvexbBh
OmP25BqQqsSQuD1MVj9cCqJqYXCMiNlHtupqpR6cIMssPjhq9JinanXK2Os+q3DtYjHAep1atYJh
vcg+8+vCPTZv92tiw4Bizab5A03Rb36T2r9Ky79TMWQGMOGAa0rqhKX056Jsbej7MDLg0Oh+j5N3
7+d58cto4p+KiZWa2ZIAeqKGLKtHDcuEasGC0jObs+GzXw8NnOZsIKR1dMLyFmZAAaU1R8Lz3u/n
ZietcRpmaF7CKSetU2unj7Vi/kiWM+HxyJ/SunqVtth0sTlBtMSaPHoqW1V5jFESIh9Yc/QkOUnU
LPg+62p13aokhxpqeIjR8VmP2lpVJ3POMY6ondQ5TQjdpNuAO4UcdL/1266jDtlDYxb2nT/r9J1j
VKlAIr2OiVfiIvJxnmipdvPcTrup4KjArEfaOZ2hipEGSUYX1qC9svSpFWWqTtsxmq/8KucSZrv/
nuZdF8uJwZDJybez9ch07HtnKg/reaXZT2Mu8a7nbCvKHjks82DYHkCw5fTKUAMRBMH67kBpWC8p
PzDMVP/kmeaXtc6QX7BdfPIShqDvdOq1CdvDP/6nrfff59X+zAJ4G9bfsNwFyb37scuPW3+TtKwX
7crsKYbYFaj42Wpd9VYs3aSDb9aYeSQrLZJMcvsla7od1A3DHx4eoQelG06sNpBTG5uHJomqfY2A
RRABNQua/KdVNBMcesQ09urVDv357HjdX4TlTocUYkU1+tXrCdKRpo0ehQc/mDd01zBt/6wz3zux
Zrq5UJhGlR4dNHtaqGy9X7aCRHbc7ZSaiRyiWRM6fNfDxtigbuXWyRf2mRdAeJ/Npvd2Pa8dvB7T
W+1XBBd3n7Vg5GTA/GDETh57tbl3YvCXFVFPGHSOKdatwtR/hsVwr+D1nAokEScoGMrF4VcoOB0S
8L4XcMRsU73kFinaS90myrMas+Ut0TN6rvybyVoEebmlahh7YFJp8rDWaYi47OZiyK7bUQGWvENW
Q7mEbqryLA1g0H62M4irqu2Bcs6vTfXapObwPLAQap0aLvScLfkwEzICeVnMDwk+KyUiKyjkIHtQ
dQ7MDu24G4Gamh7xhlb62GsjCmBLMqX+Sz2A48+KmxMMFlH/JAXW4j0Ys/GkF3CNSV0OA8N5RmUN
g+l/6rqZhQSUpvq5QkWvcC3/KVsS6Ci80qmeWxu6prSFF2dkDfM8L0mUGuXFnZxpJ0VmEOM5ho0C
wFCzVm31jW1+jazWuJMqV6l0eMnGGbnQpjhKnSSG7uu4ieBslC7vGmDMM6ZmvbBUW3qBf3cq8qtc
WOr8cNjZXmsc2qnGY738SGmMEjW/WTYEhEuVhVn90XGUwxCE8UtRHgsAwc+tpkUv+Mx/j1HlXwfN
eICIPL0fEat6lsSd4fqH1so6bXXp1OeIuMHMn6hKrABp9A00r7u7xEqsZ4z91npsF9nHufBRPwrb
Zp/nLps2P0VjaLZK97yWUUiqTnWRmnvifGkPS0u/LYvnuHGfZo/VQT9X+Iqqznz2vER5sqJbsBSM
KP47Ga36e4fV8m4y02VbCN4H9T8CM7Z+YwLLUToz9cqJHLWw0a6InhG86x7LYjqsI2ouo4BY43YH
K3LzVNRZ8GJiJHvR4+K19IPxJt0kYUmm75AFKi9SlL4aLOsHqyJyXI6SOhAVKZCE5IE93Lj31MB7
TnPDe4aXe74zjO5H4NewhCz1upP1KEnFOz92Qf5LNxgwr3juwwfpwcrvWY004xbNjL9iitqLEnj2
M2BR5xkFseqohS5aBuPsPEuD1kLuqZY4Z6QoDRCmmI9VyoIR5Q0F5tiwxZVsGPs+Yv5Neut+6xti
O0XMrHHOqV7FJ3ciYgI6y/ClBA1xQJ4lORoOzGh7p638k+EZMIfD3/IC1XP0YrYN2FAjwX4wYg91
jRRRoUXLRBLWLjNqWah56vPIaqMMkMNTEAvxF6Y+H+Lhv3NLEX69r3mLlh/aGh7xd4u0io849J3k
kGvO8F/ftQtKqFtCGCUnySCBkkvCppbASamEurY7ezoe7zGG8KWY3sI18GqJ81ZZdtffVH3GzNKy
i12AD1vCGhmog5QzQT30ZvbVXIBH3YKkqZefgDYRyCNb8EdWBbEbbJAYBeDdvZNEr9pxRuCoXvg3
/pvVU+9XlOhwYDQ5tI/S3PczCFHJxtDOQPmfxLg5IM7HaQfL3nrH3AkJkgSekdi1cSHKXVybIXu5
LVaZM9wnyB2AMAO+YB6VyVCA2HV/TZ35pw9bRFpU5xH5r4OlvQboOt4VXf/N4bbeIuTATq1m/ggn
0zuOS1RtwmkK78aMkx3l/253W3LyBPBhhUcz4F4pqKTd1E4/1ElgXlqE2u5soyivNpuEpIrrnaJ2
58G0P6f8a8saQegD6lB5wgwBrWZN7kJIPyvWIa4BMS+gtHyJuHaWhyW5DNKGYwUtCN/dXrtrYLYI
KhtHl1HCxJek4/27GwNEmftmew0Uio62V5TMx96Pwa0KrV9mFipHw7ovhnq8a0J7WBPDjMY7X1/u
XDb9yDS9ugPyW915eQXpuGRz1+u1o2RFelVykiSOXxHt5MGGscTOF4scS2lUAHRYdPzjwCo9J79G
GUQAC0Z0+ZuSyB/eil1mwCyjoZvpLximeYlRlNtRCOZUsu2MwSvPnOmwPRkZp1tRcp42IG8FgJfJ
u4AnkMRYwv62xOrM8NyZ1i1ZYu9lHEgSLcUBF8dpjpp7qSp9C3GHwGU1IrIGvSga2ErP8+2L4lOq
NTXqo0YOBmxBja1Zp9OHawLJFyB57unCD1GZyBhIIsU4goVYi5TfNUvK4YYwZLubG6dHFUWJx5vj
FgcDma62GKddkCGtG6JPfVDdil2MrvpnbD9/eun4ppULsS7rEXRjCwTngNJPuM6PetaDG00esqIK
d3CU4Sidy/DeJhbmIfC7Pf72ZjdM2WOm8YnIvco6eLCs3tSq3TNllLjQsSyWVXeFbmDZ2s7qC+h7
/TIPKAjZLpq0zte2bvOTiROGKPauR4ulCU5RixAlSuBKn+EfIUzwwAeXSSN+MnXN3k/apBx9pUUW
ptdPcP9DTzd/Nsz0mpcl9jskiaLG/F4NFZqFU3qCfik6WgD9ira7D4Na3fFxBJkcFsWhAZARdvcQ
vxJPEuPSVVRcr0GMUQUs1R5Stug0VItGdGsQhYuJAuf0fi71AX1jtzmUUFQ0LrbGfvzdONwYt/eQ
SuH4uffugymJ9xECW34eq/CaIlEaaZirexXiWwP98wnRzKr/HfsgslUiqfbjbLlnH64bpWwvrR5y
E+Chi0ybO22GYMWbwSQuZvjiuYvpEiFI1mPNnw6f7mVu0TS4Yxz7midnQ5kAAivE+3eDcmZFMe/x
P/5g8Rwe3Qn8fqnYCdxEhOm4M2tPE2yOCz0a4Zv88SD3pkvivoxQIF3weKr3BNOinuGiwKDmPOgS
lC6Y+S6AMNgNXBWtrc6EcwrUU6j8bn20ZerxYRlBemy3D2k4/2XRuM8bPpQVm2zF8R8LvftVZbAj
6byie23oEWuaBvyNoYNijhqbBwyi90XSoIBrgxMDwX1IMScYJqDwOVHTvd0ulCJwLe9Gvf3q8704
wPK6Q5cZfdAMF47LtezKi+CEmPs9UTkTjF7WQ1cppyxo/JcJxvW5cv8oU1T1/oer81puFei29RNR
RWgauBUo2bLlnG4op0XOoRuefn/yv/f5q87NqmVZlmwEzewxx/xGYiafy2zsRp+NoLLm6FIAztJJ
r/HK7dwg/THgsG4aTTaxpde3oEOwQIC0jF+PiES4Rk52dCyUvCA37yEu+KGzlFGczk+L5e8IwsU+
kmLFMoRJt5UdklF8F5017dZOT9GSlu3O8F9So643bl7F276s0WfmeudKozmtKS+oRpTBzLLOic5H
0JTLcTI/2fmnYbB483bqH4eCqNaevC70/K0M2ndrnMGzAEjyHUKPx/kFR64D7ChPQ1I8qw3VoBWu
8Fc3AYGpm3HR1Sb30oMrDHMzg+ySuXgBJNYJTJJgvkrqo86M6pz0FR9iqGlNB8tJXL63vCbB/Bkn
XQ/UqfnJ17fVLoCvlek35twqGuxnIhSfZ/ySdF2gparrAGTqpbcx6smP0Nr0MnlIZpiAZWz/Q74B
YSLfc+XeNpqmfRmchM3TKkvdOCbVP2t6vp1JHR7b4RSvEwGy9bInnleSLlunh+WL5Gz06qeinj6s
iUB5c1zuRE7lP60XXG+DEEg0Oo0+wQpdA5mc8AwDNkw4J8K+mQCC5Z8zB2nTt4QCG45xbDVFViqs
Lhz3HHszKj0EfyIFrp1211dufE+24biltZOHuvOepa4ip55YCAwwtGX5RsZ9GVkBDe+hH7PNMFSv
+EUZchzZQ+siIy8J96bsCRK+5MTijNbbwShfgPnfg07zN8PrLCHQdVnB3L06+pn90xjFT5XZ30Pn
EBbYQ+Y32UOhcO9rNS07v6JZkFl42f0SH1G6JG8WKqiugP2ppXk08+62uwhV9XJpxP46g0f0guIX
TrHKDrPYwL3rt9qQl3Hn9jyn+SZrJGrJxajbJfrYWNwUKjxCEngfrBdWTZmEuXXsq+zsYcTYtGVz
WxXNv8rxjl0nP4eMjZcWd6lfVpEwywNGFfSgeCSvRcXM1fvqaiTNLAFVHXU40LeTk0PkUXMRSYM0
etsYl43h1jqKHePbh2yUxjNG9MzZCkKl7NGT+0X3T8S80YauxB4VYO+uKJlp/VxrcydI9d75qcQ/
jGclcznNjOYtMJv8ag6T1L8wxB5mJ4U2Xr4s61hG8Gee0n79brR8tZvlfpahXcluJxN9s4LmLCTk
uYH8SUvKmwaMtd8McAYbm46aGI5FHGPTlnuVGZGfkXX/vmTtR5CUT7KdTlriaTTVSzqWhwEPTqE5
J/Jx2IFkA00zn1LAgRjaAKP1pRsVLTtwo4+cnusTqrxbHrqhUYi4C8w4+NBAA8iuSNyPZdQfZFNX
G680ngcfkM2Y2e9DVXwrcHpOp9+ZL/vFtosv1tmvc3acRPW0MEYelmbz0E7AyzM4THOBo5rj8SgI
Eds3tAHw/DloR8O6pwEJTG04JtN0T6YRGYI++rgavd9BDKApuMOSsU3Uey1A/gJQ3hhCEXlp1mCb
ypM91vcFaJ6NtSp3K4Jgr2VwfK8GAH3Qho6Ndkd4+wVm+QV7REqOJmns14RiNLfMDWPh88Cm21yR
bYyygyo8ut9mNZ4KU71N/FJs/V4zTBiQPsuXoDeuWfkeMZe1m2nyOPTJrUUyfePa+zFXB93Eu+Ew
qHo3cFhYJNj50zvUG3p7GfW/AgXstbcZKtVhJE/NHAgW08GpaGB9Tk5BP6XeqYyrV/nxb1kSoVzg
T6t1/yqn8WQH493klyF5DvftmHy4FftGRsiIblDlu8dMPXzSZg5pzZDyIIj+XDk36AiAja8pG3pL
UdHore+YGIynvWCfcQzYLTfVLdGjPXVAZqJVcblMr3JEVF5LX2/g8JzLXA+bzoMIaAoMR06VPDWy
/G1H3W+qsVRRF0wkRjJ02KfmcTaDB8+hiFxSyNl1Ml87A1V2O8Uf08h1t072TgLz9ob5xkG9g5xS
RCDupFHSDe1iUKJ4p0DuvsIgxOiUIKE5aIf97HCQPQ4jkScrC7pVRZPtBQz8+/5mzlUVVY9DBSNq
LgxzZzswG4Y+eyAAfoxh23ODo5K8D35MPU0nCxAZuzH34MfjkyEWsJvB9CFGSOOLkeF7mT76Idgl
M0jRISOjOCiCqEQi6GlwlBjjo9o0uHgowjqRh12CIjCZZoViXRyqdfaPhEy+ehnwHu7g09z+WCO1
8aK4PBv4Onl2EkZDwpyCoZhzunTZg8XyEzGdhKuJ/J41605J1vwjZDTdCGuireQ8x4NPUEn9ZUGu
89eeKQmLRLA488nnrG+mpLuWFIvJWN/OAU1D8kVAXd0wQPRCrf3i07QI3eSSFWHr78VlB1D4s771
A241cokKf7okDHI3lwRI5QMc1e61sDuuDhXKfjXP7lxpivGy2AifGkyW+DaS7N+Mnj1eu82FkOVq
eG9aPbuN2lq2qymsCM3IPNgOcrozlG6PmVHcOQkFOZm0te3WewdlqutWRUGbznuGtJ1BVhGC0LNM
ky/4VrBTCzx7qdVxBXDSGP8Q/T6zpjjG0tEkA490K2+rFowZiHuxKXHbHlY36aMBImag8jBf3Zt+
CvCmTr+ucUXU8ikjmLVGhAb4iPeuaLeMMt7lsxA7s+7egSxcTfUK8bm5IJo/OkFwtQ4shvWb9LkV
HpUQHigfkWDTmQl1Z5OBmcSCXvt7TEsu0ZCeCnPJcI9cmApxP/MJBOSsFjLbpb0TzvJkm/LU5VyB
KUe4EIRK0JX8db14jsoR4nC1TS25z6T+WPUVzpnnEkfqhlyQbltZHCeixG+ZxMA2srJfl8wqjctF
gndfDch8F29bCD3kzR6uDWsnCTzaBK7xKBqxmwHcXhapZgMHlVGoBQP1/kKXI/2jYGEznGvQge9z
6nzZ0lh2sT0DS2aEFKIh29OyBG9HRegGnP2NwewAhQmxiSnzK9T4Y5bCSCqcf44c643UyP0u1CTW
TSREF7ygbd5nvmlDlfOigpTTjRFwlniu/Yng8kuGcns9F3StbRr3C1FFhW09AOyrIqwyDFA6VmQW
jXv5gW2GRhzZNo19v9gLFy6tpfXBs2afOiBvQ1BzA/SU8S23OnDU47WRcbY1vdgMZfuclzXjSPIK
MGa0NtTPagxI9UWk2Mgy3SsSx6F2rrcSC3srfhYr+G6rNY8wsrWcptO9V6t3b1DfkEQP67KE0rY+
Gp250JIViF6GL2Ldu/BJVB3SBzFb8TgX3v00+Ixl5NXN7E80UDqTRnbwnrsjifaV8xSPD5MwQXXD
ECVBjMQd04sjndY3pStOwpJcuslInhN9jN70zi27jrmpVZRm5h2BI8/2TCpmMNW7JF0e0tid8QJ6
9zRUCHDJY5jN65sfPPjSwCRiX1h81ajDccwpsCkwwdclUW430QLFlpjzzdxP9BvSvdHWN3X5DDYv
oNkZHzgnw75Nna3OLXZis8VT7azeGrZ0Qv9qSAB2IvrhXSAbPJjwnNTeVnXmm1GWtFomex9rmHs6
JgyvBIPWeVOYzON32mG9d50j9cVQlxQYytu4VJXsvtTZLI5U0i7U4ZKUqiwIrWaWvA15CGVghDHe
3LpzrND385/FS99S+pTLMlWhMcMGzAN7OXrLayOychvb+1LQkK6ZQ2UGNdlKcmAaMb0VdXJRqNn5
xzmfWiD7kBsCvZLeQmklr87Y5wyRLrJ41pq7t0uq965VlByzHGkTDrSHU0KiAy+AofzTxmRkFGl7
OybpziFIZBcs+rot7K/SYGA3zSG/X3hD3fiNI+mZhnizM/CobDqu+G1geOwNAy4lpYbbetkFUICX
BbkdP1cXxUUCna1hLLBjEqGkq5UPzP6VMVpIlv00cXkyPQOoed6SLBS7tJ6y4ZAC2NhgWvI2fWP/
KAfsVPlsSa8mccv68Czj4K0a/STAzeO0P00D6hRe9w+8mU8qarXr7PR2BTkM2bcoQtJgoRCs5z4l
wvVOczflUmTgsP7EEoP1e/5HvuVtHBCxnLFGWQSdV7P3Elj6eumBkcCZI0ve6c9zLz5rPiyQKPdZ
Edh74xK5nLbLqXRNqO9ZPe2yjH2aSe3ftuqFaxQbCKb6y3Iot32y7Pk5uuBTAvg2PRIr9FxYthGR
gLV/YZA03qguxj30E+jXznde0bafvGqi2sSY6q44zoiuZnTiuiwCtqksUbFDwcu1ickWrbfrsde8
m9L+6Cy8VBWeCQTbh4aDt6mVc2+UBZKhcN5m+pZWouaI9J8LTyVITqkrnpJVHqySAl0khPKxOlEB
QNpjD+vbsFu7ycFoDEkYweouSJP79peFN6bzo5is1Ol8Xwp2arJnniZXxKII8y3tCWpY7IY8KPUE
gLTc4eG6y735RFuBQT+jvBVlMkZsAk/qQm5dnEfrM6n9T28aXgaTE7NwX8i+eLRlHYmEnEIigKGA
EyS7XA09VwtjXTjED4Njvk2j+2V4M7oyTrfBIbsuNxFjcu7/3po5TEzMx266LTo44CwA2OAu8Gbr
Pb5sXn0jOa2QCkFqnwpbrgh3w3fb6V3nGS8lkcQbL3VUqBoKb9PFzRBztlDFTHUTMCouzI0ryqsm
Hr9qwQhFOq1AKbE/9dOjV4prp5JDaBsTNVWN/d4EUK1zw4jEJZ93Cqwto+BE0efNd1qlB8AVV32W
7szC/Un9Hp2qpwtIkipRitneXtrbQhIo2nflsZ2JTJ3Mdosr/LOwBuyiNgndbrbNCxrP+Yj/La4B
B7tbfoXrKT17WY1JWJ1qw4LvJK10w9BjrJyHeGSEIo7/rbXxZBMlpGWTPhnFB8zE2l3t0EhM3FjK
vl1gj0XOaH1703i0g+yxUXTWmQD8GePLwU7Lj8WaX4uauWrSFqBfNfzNmbpdCnXT5Njz4uSTEuKT
YNV04zXzzm2Xj6m9zOWZ3MiNKsARuDawx23cdtTmF6VS7+nipZGzIM2amU0AvI2akH4ELokUxVCf
qpI4pcZ9qHwl6KAb72uiTmYHQjqob2yWcOH5+7Fp/LBSQO7qcZup7C0rexH+69z223XKr7ht8Vra
zX0FrXH0KhYX2ZO25I7g8a7XWm1j8uNxOTGrbbXXzBk92saMOZ3JX6YsDosCS5iSDZrnJqLeVM+c
jXjOV+FEJj1VGFwJsyC1Cs1wXHVOUmJW7NbEu2aC8lOK7qNc1/MM54u2mrzhCnmVBbQ2Y4qCusGD
6Sd7u89DT00Yjg3SovL1luGlK6i1675zna0L3oD7j0UeZRn6NlfXvJrzgUwHKPrYwLU/AVnnj2qd
4EF7iDceesrGoaLjLK5vnPJlEkVEgOpdn45v6UwL/HIKrgsRUxhLzF0iOVGYn7hdy3iPIv4We+Mt
yu05BpTPLoE5tLKztqQQXZeiehxT+73SUrDRSylrmafyAyhPYuTGWGePf1aBxESUQTxuD+zGHgnV
fmvH/Jvd7xNToOMRbD6ZymscMffy5ranvo3fKQ/wY6SUKDFC/cmgkdNbhK1Mi1ts/co+4DJC1ssX
h5KhS8iHNE6N1xq37DVfdYW2u07ejrzsOmpcqdjT62BXraBoVlEWh7q/qRuDBgEvsPUL45t972Zh
FkJksX/Qq8HcZAWykpCsRPvJ1ZwpNo2QE+jtG2Gbu8QWL+5+GSrryijpYHVMItCJ8Nio+anJeIa1
X5agOzIel236hQwmbTnVg7EMQOO9Ytj/ffmfx8DQ51yXQxlHHiMcgPhbm3vVSNi4VzVkGVzSn/Sb
LzJg3ARYSE8vYRcsx8ZjJJ0hpw+JjmwJ/KeeMxkH/p7dalGoTiJG6QNiz9bmZS37YT9TofeKe9jc
I0Bm4yP5wp/TWF4mu7j7rIY6CmsO9l78zyOzM1xK6xMfGfeaAbtbboqEnOPy3ZgAqjYOpb1U1m9c
+1w0VNhVHH85uZhCJCI/AhsgAgeIs1nzN0mWJb+7ytSlZEuN69TDwxd732lgf88D9u2FRTie4iMk
ZgDpKFZjYL8GBdBvd9cuxk13ebvs0oFxJPYpBfk+8F/g54E9rEmWWOtwXvLTasqHqj23uZg3eake
64Tuc+n7x74VSJreubCZJvf8n167QPyT7m5xy/v80joIjArZUPfXwkxUOPQOV0RACjxTZVfkY9RR
l3SaHv4YUVwrLmvnWM+CQB2X3dvBSVIBbAJnhykhElheCxO1cDwIjUm/zd323Ofzm64uQYs6n/ex
U/1T2TrcjJA2EuRt02Wn7CQBN9jFoT/gONsgNd+yxbsJkn/24NCT7clD89lwtplfszzmj5V6iZ0M
upDPHi1NnGTDiPVGj7AcdKNDP8jZO3uu2tBT3eeZab0WAas17Fh2t0gsuiIfysquxYT6Imdxyx77
SZrV61D55dboRYbRInmDMcIIu2/vmWYyQ4weLIMX06FH7BDKISLVFF5kz+1sM6xu8xnbl27rahAM
6RbFniBTfsq+duiF7Uxffq5M8lcKqTKeaa6AUGHEnY67GjV7OIPcJb8u/bCQ0mKiaX6ySoCApgPy
ZW5abFUIVm77U+Qd7JdaHcoFndkq3eBoi+NYjdNmSWhMDSvik+cVnxMiH3ebxtjUmB6GskmPST5f
Cmj73WXEZYNamYA70f2dWVU0Vmz3q7m0nuKPDoUltAqD2nU8DWiW2GT7q4TRwIli5D6WnJV1g9g5
mcydzLcz83UhHpV2G9QulPSFtoe8JNZMHYpftk6KfhknDGSEYt+nUCoo7za6L6b7jsz0aCDe6ALk
v0aXv0ncLiwndBsNUcNSyJrUUu0xnzuIH9wR0k7EYTdl5s2ozF1FTblZPCans5XEcmGeg1Y4e2FO
3Q5C5HHtcm8ji3qb2gS2rAk3hyQRw7VCby98DO55oV9kjcnUHJ/pmvH51yvWHxTZOBvyq7JBVmff
Cqc2l0SvzDtYDFAkujo7jR79065HtG8dbTAUCw+yDKrtOjrcjNXwBqJnW7uX+rNhNG6dj27BSlpm
zUstV+fg2Q1uZtEsV2K49IR67DTEb+Dh84qeurYkT5zZja1IOS0MJRjAHhACudDYZkn3pSr7KvSs
Og5BrtR4OZl6bfOQyLYaANTlkjyXmrcoFi5hp+zdUAhxyVPoTq7IX0fJsY2tUR7yrMDAxGXPmM9L
L/mLO5e3ZJ4IJSaRLGu0ZKQ/v7qBi7G4qE6gPvV10tybSCicUfUm5lPZpsUA7nvo2e7x3la77Aga
mek6U2V59Hq20m+bME/mg2DjTrxwRcTqJOo9zWIHRswumG+alPAWZmU/TSmIe7fj7Zwvr45i6nL2
5uchZtYTG1C/rwmiYYkezzpbeZLxT5AShKyTfLWOnCLPn64SeqgIh4ENGCVZkM1l+wO/mUO05Hez
ORmET/tMwMw+sRs1gwldi5/WRqGzCRuZSNisOZPdGNwaFxJT/+2NWEaWG13bR0AlzUpZ4XLOidb6
0Yn7adr/Zr3+gJ4h3AJQuNvdrYM0IePE6NDxJ/AtflrYcmeWTFDQMoReMzBkgu5hqPlW0WOWpPjk
6bwdUuM96IW/nayewLWsaG7o/HnbcvVJxxP0dGh7haZFpcM+h+FeKlb2tXvAPiKEiVFE3LaPuRMv
VzI26W2w9RE1lhwvafTOgAWPD/lxNEpz1/t3MC4oDM3lZdbWYR1MVGHdP48zHRGpxtBO6iHUKrAo
FMuV3z65SYfxvZS0yJx/9pzd+ez22QRzV5xnjdWI7cCkaUCngUHNfuiZGz8n5JEYDWHWhDtFajB+
+mZ+dxJyvcr4ppjwVorpR/kI+m2OBI+78mlEFCDvLYD7W0vED+d5jtke5tAbtgzofBqX6bXUW661
R3RBlef3hmih57sLp9zaNpsGK0pkzez5vAsTf2jrX9NRX+NsUrFIdbBYe/YX6LZqyi+8G6RXQj+l
38vO2Pb6B/6inLMqzZFf3HKfgsDFbBgVRn6oTAKd+9i564Ygv2oGzm2nixIO8mZpA+yBNMGtLnC3
6ajUbetvHdyzka8FaRvT57I0Z+6wOVWwsxEt43N9U+MDaXdLfhnYHdl3ENqGQX5tf3KGrNgq5I+2
GcRh2iG9po2b8T+EkzJppnMtmcw1vtHa1YeRHOi+mqCdxO080GZbdf3teRc2i2Br1A8Y62Y+Fctc
90mwDufs8o+L+lbhpL36e0iWHVFGKA9tIflrh0sETawPFfZHPLk2aynB6r4RQPHv5yVqO9bhuLWe
8inLOQ/M1wG8RGTZthcmzsGX0o3EGrwmWSqYckPTboZKbfuYjUylmIPIN71uumOnh6fZa9e9nTvZ
du7LW41ljN4x3TmnL7s9Fw/Bxv5UwBHW9GrpxFHCscYypQ+mAnV46/TDdDu3/kNZc0DrtdxUrdXf
jsHYkuG987np+y1MlpH2BtSxcx8viPzIjGOqv9RkQRH3aMvnk/XiSJyF7fDRdpBcmOiiFKq2Qe+d
KzpiUbuKIaRo3caMDs60WGHmXII21G/eL1Es55H4wquin/QO8DfOxfg2WJObRLJXYVu2K+w2DZVR
oMdY6soif4AiR/+y5AKP8vw7y+nvu6lAhpHJS7nQ/xTclxII0r2x/NPkB+exY91mrjNHY10lO6Mk
GaGz/H+ei0ezGl/0OMcbAQY59BYz9IaF9dlZf4T2D71DTHb+z5OcoGtVfnea2VrTG6n9DEKM6iW5
Vk773BeYKUZOLnt4Yo7jOuhx+CRxuo2zHorHZG+8QHxfJk4oxKGTDIHthLHtnWyc1yX9l+2cyGOA
5eeKQcVn6xIznrQG3faGA+CJn6Fk2JI5ogbxdadjH6hNXj4Fkj617ZFRBAvkSjbLeXboHrgifk/v
cKCwqoSxWreTjXV/7m+WqSj32DKOyxyfiQth9AUtorA0Vh2P10yW5bWq3d9+1TdCTGeqVLDF6XUR
8wzOTgND0LArxMTZfanO6KOcZZ4KytmhQjlxDp07Hi1NDnqlH41ltW4mvEA2PuBdkx2qnhJ3DJxf
u3CmTS2HV6MZV3SugpsBx81mMrPD9NT76fVILw3N7dMW43iyCIvNU3/ZGeMYRMPahIFIOVuy+xIy
Q5iw1jf9HqzSEc8kt/LCtJnvbz9KSZxYrB0Sp43fxJ0+C1F8jX26cvbbe9XxuYiM8ELy1ndyHT4S
BxEyzy/j9DkdNIeMJ7vxk1CAKENhoGPrcpjnft5hfGKFvcrH/JnP/8H76ts+iBL0AmRaRP8hMDeG
YlvlJr960A+D7f225fjqL8MjXYg4tHMDTr5HcFYAUaqL2Q4I6+LeoY9qkBosBZZsIg/8zVStHVt+
k66zFzvXgNK+rFj5YVfjE7t0s+qR8Xx2amVE7M5x1hL4w9XiLHuPK6hOmn3Fwh1L482Zsn/AzWqU
507vGxNbG+Pvaf9be8MrOVOo0XVz7sTOirlzsqZDVw4OlZihH9dfduHjTdfbyc+w1JmiJZeBudP2
Ej9jLBjsYuvHs39paPrbdA1uNJa0qLZAI2C9zjoTT2+QXml3tTZ5lt60jUFqpVOdJNNqRd1V+3Fx
zS22OZfqQoVTLfeW0gm0sbYjgqV7sHlhCGtc/oW46tmUJkx0ku6YMngddCMr/H5p89+06S7QqfHo
1AZ/N6mcQqLiUN6yCbtkoC3qxVrT4BplI9QD2eO+m1lb7dVPadvfORNBEGCq+TWySFV4XX3Ucua9
3RtZsBXqaJeH2WISXOUUJ5h699i/gf7plo6VpomhCXfCObXvRqPdqvY8rqZ1XVfzTtVGEnUFRVk7
HJraom5FE87qjE9P11s/XW+yigUoTrt6a7bjVeIT3J6YxC7gOLICY9gGpcG48vxW6n7bzwMlwJjc
GRZFv6qbn4SGXpcTRhkkRhYZi/0px+4szPFQBeWyHS3q3XIsJHqQw7BQCZElVndj4ny14jpxWDXJ
CfRoh/0L8Dg0wmXMfQ5+yUj5RPwSnf9CB2WviYFjpuXaYVOaJpQROrHPDKycU2WeMzXh9rCObVJW
Owt5QFbyTtvBxcpDOdp2BCkueF3b3n4ddPaEw5JyFA6VO84MatTytl6dx9jJHwRrys73pn3Rr/ug
ta5i7uQMi4ZTQ4OMaMptnqNGktiZZ/3G7rQTYaPkKz+h2GnxxQwVqjmz3FmT7pfZ2nnjSFWC2BiQ
WbBpjfIkdP8T5/NPMdCryNeN1T2U3TRx0TDyFzdvdip/Mu3+TnMDr9+OHLNs98Dv6ZctgBU6du0y
/UKSpWHf1j3imXF2mvUpdb2X3NMH03aOXUqpaoz2CfwO4x4Cj87EDdEd/Glz+mcJY9uZLTcM0BBz
IHZuxx3WVF99DTaw+BKOIIetOCLq3ksPJa4cm9c1DqJ+WcU+Ha3ngBzWrgve0+niiM/Sk6EwUmC0
IwWi0ie3Ive0sRG4K//ZhOI2xc0Z4NGM82p+7Ga0mDFhGLbx5A2DYwTaxe1DxSDDJliXUz0FUba6
pCjxFDomJwdOCm1Wf+f6/YPjVp/9QFaZYXqw9jGkmfNTIJCXnYCxAtd/VKNFweZGLLl0oGEkYMMV
zwUBnYybgBdznf6zNqfIwKXakRqqM/ssLY/MULiBOZr71MaHyy2PvsDrWhfuRqQ1s+mM+sSde985
w63baz+k18i2m9C6jdE5d+Ukh22Np0f5OB/1eG1PdIMT2im98Q3JgahHtNWN6iFI4ku1PT5aRb+8
LC32pd4RCZ61MbNa7mvrfrKml8pEAoOKdJlI3xsMdg+BpCihUFRMq1zagPCkMrATZrIgDlD9xsNH
51u7qRenyfPgobQkQxas2QAtvAZBcxpvVCvGG6vJphsEiJW2njIO2EfUZjBafawG0T7kwige2FZf
/v/3QDMw/winiNumjGFBxmlihb1rDvv//TZPNPS8JdawO/89hB2APoQr3v/7IrlKctZxX2/ddWgf
0GG6B+xij60JvOPvIYd419suMA//ecLlWSUBpjt+2zT67wshpDOlr2zj+Pc8zNb6XnfE119e9e8f
ZksOKQOVtK35zf4eG+QwhjjsXDAu//dYmfmhBdTn/PcM2F0LbpccQdst1Fno+X//YW9374taXf1/
jwtqA1A6iobW/z3f6iQUC3GiT2rf/vfhkmi12wSH0d+L/j1eNgvRU6l7x15k19pdfJeT6fnUxRin
mlaNV39fyqApLhlw6zbT+fQU9El5bXdoiXWiJu4co39PBkJYMn4zhrWnb5TJ4vv3o0sfDGGCWe/4
92VeBvmewQYR/eeFk1idyCpENLu8bV9CnSus/zz17638oH2l6yJu/t5JZUQ2rrGfIEjwdDV11YHt
tBH+fZkxeXqjAvu56gx+D9M8O501PP69jsVPImX03envhdwaU19XB/Hu77tj7oYLnl6masrm/u8f
t+z6XdFzaYHKStNwkg2sC1UN4d+3cTQ397xhdujJYGYVvzynytYU1xVNrf++TjEsmv1AvUeksHfj
6GRnJPZ01yhd3tGCvzgH2vYeRJ0XNUk2PxQgNaMBqsLj0ncyjJm+eaL26sNEyfJlRH3junPVa7rC
s/NK13urtVtvSmNqPkTf/hIqy7hkX7/6c15967ZmbDB3fuoVI3vpN/9GTUVR0VOhw9GEs9mycKzm
XaypaDb9CbUKS24FhUbIHPsB0cSUOzPPXpt9Si/kl0bEtTOu3U/Ze/ceDv+vTOXvfp32nyZ7Aqq3
IXi36d1uirxcdlmbEI0SWN09YfJwNUuPJegSuPz3WFK0jFSuBsXP3HX3f9+wEstjkYjb7d+Xf9/o
M8ShPCkNyh1e6j/PaxO9lVjMor8vx8sLNJ7tb2ftQ9T7f+9B1nODfZo+mqu6Jg3X3jN3hmNBIb48
5+/1A3qCe925839+1b9v1EM87euBntbfU/5eXxsmPv85pd/fdPjZmEg/rHNBXCQt0DNpQdVh6tyc
SNA2veEyM7ajofNHIAZZ2Fvu+FGVxq3ttiqhR3y/+nH6r6vcTwzewauStk8E8sjYrPJKVJWguzbq
xrn2bOXv2LzOXP+VTV/cmd9UPL+5DSiX1N0yPcAHtBbrfe218l1LuwmTRK0PgZU1u0BW4HaqYb7C
3e/vSW2Oz8SaDpHTFeYLjsIcYFJ615nFQ73a9q3TVoAWHKloTdALnIr0fyg7s+W2kW1Nv8qOfd2I
xjx09OkLcSZFiqIm2zcIy3ZhTszj0/eHpMt0adepjr5BYGUmQIoiE5lr/UN54otDoSjIk1PC1mlj
oLVwTBIz3bQlKimpoMCVJf14TCyj2RgCVIEwKf63ppYdtXbUNyjbBEfN0+0NPxTnPkkgAuRMuPzK
9gLQyaaA2r81rDh8ZDXCkk5z7G9BukdXwv7esA+/q5tgvMihkTUpZGX+HDp09YehBjTni4rH96Zr
LGbfNnkCPRXf43226X20TVFbJp0h20h4brqy6MNVj13osqhUqn5+/5jpNc7KsT+t9GjqH+UBe1ln
YSAnsZahNo/TOpi4gVFYm4KpDePumFw2qj7BTo/K4XpdGJNUdnW/2lME/z7h5odQFZl+sP7npvCQ
vYGnxG7Q3ea4qICx7CEDw0t4NFAVXgLaGVayrc9d/5HVPRh9FDepCTFOtjm9sexH5Jlk1Id+dkKi
bCsjeSP4ad42xj0PODP3kAfLtHyMm/kN3drAc1aUcm191/4aR/1jqSNt9yCbCs8VSLpV27zCQn1I
02ap6j3oChIozVqJTf532EGGK9iI8DGVKSGXpdcPDo8FgABzI7nJZHGN67JCgI887nWkDBHOJ9U0
H263kB25FTQPNiV1NKddZGD6+kHzR3UrE/dCSXkTfDH/m8bAstWtopHilxfKgfIgO+ChUg6eL56m
Avh44tm7YN6AlmFlnDryPw9BVgJrQTXwC1nDmiKPlZ/1AqEKa4KPk7cUHA1H/BB67j1GAcQbrySf
Ltszx3tC7kN98ublbllCi1HClvEiP+QFqlDWiNu0P4pyJdvbkB1R3xZvVHEcxIkG7FVjSpeZheWs
FvbKoXb4Nt3J02bEuVQMHVLmlnKQTVWc0Cvj66lsvfV3HsS1NFP++NAuww9tlu5qu6xMVr1LDhXf
q/EQ6uPPg6rWj1HL3zqZ4MWz0LE+aTHkA7VIii8U7b5bZmF/VRzx2mhaszNtw9y4WhyuvMxA9QMN
+Fcz1yifwfAQust8GmjoMlVp9IbjJabGTJigMpRVbYwHF5Utf4yNJahw5j8xnMayzH6MBaKeba1/
CqxaBUGau+zYe2Xfv211rUNWVKV0f6f2RrD1M8HWuoHa5erZ18LTPuNPrlwQzM4PQkdmMHImAAlD
uy6zIn3rVIpoo5JqawUK1xfbX3CDbNW+dVVQ7LWyStcqBLFd3gbZqzuOO5KR4qvWGzmsJ98/ZGEX
X3wz+EO+3KS7/AfLIX9w8qw7+QFVhmG+YH4fICipacVgA4UdmBvkJN9jJEmP8mCIoT2WZgu81nKR
OFDYpZcAJI+GHpnDnRwDl3M+BaYNB848/Ax/3UIOz4riLcvSfHu7dWoACzaVrlm1JdSAYZh26LZ4
JxmJBAKa0yF7L8O4AsUCPHXXu/XJoSDY7GoyIKDD1GiRl0r1NnbUVWNhlp+dibp1NKT11zzN3oB5
9N+waD62rEd/1J0NJUsEONjn013uQhO4U9jIz+loL4Dfkg0gZNzAnOn2GTzxBp7yLC6XOyUKc7pW
3EVYS29keOtIUiXDBxmcZUe6+yF6VTpsxA0Eqe9dOyy9dV0A8e0Hu96FRruXkTzIIdY8ToblzC4y
+4B8WeM8RoOq7IQLryuDpc4uvUNEQYd8tYzmbjmmUnx1kabkRCvLYgyP1W9s6ZX99RJdSxeVHlgP
18H8n04azhJWZTmPEIa4ya/XuF7f+1nFN4vXqIEUHIai6deLBhz2JUgycfHnLUekVmB1frW5ddss
E1JgQHeQhIO5op8r1XXvSz2u7uGyvLEntp5VaFXojdnnonaQlI3Bkzt8Ee9lp4Wq/RIcSLFVC3CC
TWcUG+GAd00bI3iJ/NxZFR3iCHo8wKOC3ol5TgfVbcjs5ykFZePlgfJjTX3N/yE6lqRG1VjPGfda
AZBN7gfLCJdFnEIgAinwRDZzNXCvs2EZ1tNU+SROHZ0dJiQ79uaIuhtmE9/JXseg0jk2jn9PeR6B
0ShKT0VtVycHxBol9Cp6L51sX4nYeq2MwoFTESAHMmXRW6GQQJgHOH+9klpqTVLdDd/Bi1yvtJmx
FsVY62dqS2TcnTJ97lMYSgh4Ro+x76MbpTU5JZLU2fSjrR9inhHAYbKWinac3zO/NZsxU52Tyeez
cpLEeMxT7O8iVXGeh1myCD3eu7I03U3d+tN4l80eDK0zakdKnSmJS1S35iYBgv9YzIfruKYyc7wt
lJ9XyJ5mHHFI7k0fC0LI7dS4VyAS24tttOFTYaNZESH0tpKhPDDAdOz2wsp+ZgEhPHQbINsYoJmk
A8mA9Dvfa02cabvgYIu0OvZhn62SLG1e9Sj+Jv/VmvFHZPXh95jvKsn0EaOL+RoXqaKDOV+TOuQU
qtisXydjLh/0/g9TXK8RXqrd6W7285rSBpeSpOIApco7aM3oHSh5Ut/qdQoSZSyCdcKzocINmy4h
uz6esgg2lkobrdOhzFpMCkx4fLjq3tX89ag846M+Bogw3Fmqy1HMDbdDk0YYAIN6fZ4g0q7aAcf1
OhqM+1zoySqyYuUNkvxDz7fwuxV1Z7PujTd4C4KyeP0fQ/2sfZBLVzMczoUX/Rz64a7mpOKxnpcJ
acSveiWMF9Wviueg+y2Iuq9aZ+vXHs37refjNYVX9Ju68gGhTGWHs3itDjxjYfxTEFXNlTxNNAQB
ovlQeDEKk+6Dim7XoUrm/Zo8FWjQKniq/rVVxijDV/vJIGXtjcpeWMEByoi5SSkV76nKK3vZDvGd
5Kls1LLBRRd5Hk3RzxN3clRra621lQNq2SpP5aF0LWplThvfFShn/Bwve0Yt+NJ6VXgYmefPAT+N
bTqQmNOyUpx9oYmzPGMV+tpQTN3f2gc/0LauQeFeXvrXsaBNf45t0O69Q+OgRXbYDY7yYCH0yfco
M1dOmaFd0rRwv+XpbUw9Uu74OEZ226qFWEuHsUwEzDB4VhB/PwjRqOSn51NdAfElz+ShDnh2AU8K
725tne6O5fEWJ/aUrOMMHTN5MRRHlJo+3Id0JUWauraZrlxqZL/dg4WTsxDjoIKvKeBqIdfXedEZ
IQNxDtRQnMt0dOCI+8bSG/Xs945t0yHgd2stDMNZUmk1lvJCeUBaWZzrbTWPlA11Dz7MZsmxgaeR
4TTzNlFuPGKGUN7JECpTvqkNlJZkqJtQRhW4mvcyjOxoyQNSfy48XT8nmfksm/sI7dbGxEMuHsX4
VmuUetlCODvZq1jqA06a0yNG2eZTLabrrb3UbA993BboKXERFY9xha4Q+9H5bWkpaoK5pRinHl+l
N93HmeQ/3605v1uWYeGaStLwdnu38pYJ7zarEWguYelvpBJ6xuNi3eQBuOhZLP2qjj7rqd/Csg5h
onlAaGSv7JiGlJldxqkqPqdaKrYyGrPywFQJxSfVVl7MWhdaYBSd0XYbljX57NVQOyNQpjBb+AgV
nHKWQlgn+Rblhwr5LDn6eqFjhGCnS3f29YjOllJHZ/BmAVuL/jHB/+IeAflDqwzum6rz8qM3wDry
vHPZJS/13Cw8eDZVQjm9aRP3bWiMeEEiPrqXvY0d44kxJq+BBnq6MbHYGXrFfasgja1FFQ9reZWu
96Qj2zg+eUrqvU7xvXxJV+nUe5ReqQDOL+XHMYXcSigbGY7J+HnCdxYNq7p4rgN/JV/Sa6iNaRPO
122X6q8mrLEkco9NalDxUFXIxRhZHXHKdo59aVF7iTXbBxdqPo1jaiI39Kt7UMAw3C6ZpmlkEkVi
3+LRaliwTsLuKQjb7gmjJVKHKeBQPyBE8gYDmX78ehuhtf5LHxvpUY7H9aTeGB1ESxlW8w3nKu58
L3lNX2XWAk0Rb+MZ1qZpx+phEPDtWQAAta8Ufq0qIpmtYQffw8c27PLveDhl4ASD2WvAhG07NS5E
/z5+sez63TMU8T3xdeAvdvnJ0K1y1aBMeE820j4Wk1bigeQ5X2KlXMqhpUudT+9V9zKleMONasST
xKr6y1R43Z18PRuSYtrZ5Ve/AKqolAOLMSWxDjWkylUe2e4bwIGjHNrE+ufOVeEg6rbGmyKjI/+G
3O/LhcM+6s+/IWEPdf0b8ow1lfwbKlhDL5Eo34Hvdmu/TMx1qibTFnBAttQR9niRYVclYqmHqv5i
NvXP3skLjN9CNdHLLUWjbA3bmTqJocSvKj7pS3VUqxNg+H5Xakm9RTYZHVElSpcOunmfxrF7AwJt
/uHWhzpVph9NyTSBCHkMoZyrJ8+vTjX5zLxFcKE3xNc+K8MNelkZ8ndpX9yTmcMyaj77ELaIPGMz
bDYL9gGMLst+hB2BDbTfZPYp1YyVPyjRPWUjd5GSd13J9tLVwQJBdBb3hpWv8qbHMiJoucLwIoxf
vMG93qDfGY6Jq5Y22+s5jnpvmmBB56iMA1A8eTVeO7sq1FZV1aFIMHfIIbLX6/T8QAEBFf2YAhVK
YOu0CqyjSX7zaM8HGYZpbx8mzCVlJNvlCC2jfkTRx0GZWsRQ3+dr+xyPo9DK1iGuNwspwA7T9aVA
6P8pCgBM1ho4CymE7kz1i+25yRPl9PDaXqTOotX0+gtqG7DNu++ojfMMA/7yGBSmvw2QDtq4YSqe
kp4iR6Oo3XejVxcIQLdfVVSblsg4aiekU3FAa9NoPZRK/Vqp2ktQJT2SOhhljcJ7s2I8VGLNSe7b
ouzxADFGVPvH4MweAzK2CB6hlff3ht7Yj9Z8MHVwi1b+OMaRPSuKtUcgmAf4f2AtKzOpdvrEsuI2
vq3raK02bNlkm7ysC0Hhj1GbbWQoO9So+oFsvbW/DXNAUjl1nj1A3rQf09KvH9xOWdwGoCzD0iwe
v91uUxtOuWkmSH3yItnRttGwTNLQh3LBjWSb1ogBs+so28mwy317LaICNISKN44XWG8uW7pD7wEC
kGE9juEKpRp1K0MnyV8ayl1nyFT+Ewz1dd201lsxBhDYvIs2xOaR0gUS/IH6BzAsdRNXBVsa2SYP
USTqezhX0JYZq065sfanqtg1nfgMFhjquefrS01140s/Cuts6u8tuQWIM9hV7JAxg/I6d+ZVnlxU
M1KXKtWhlWy7dvjFZ2PUtYOMkFK0zp54l8NlS2Rp6o5F6+/3idNcBRXRKKvK6TqIpE39OYBDdb0H
mwvg2uX0GfKLu6g8KtMxpX9tnoAi9F6fbpHvXyM5Vw2oXNz6ur9Ev66Tk9yvkfI6ak79k95Tq54n
wF8jr683982CO39znTcEoB+Dfhf0Y3KE2ZgcrcS/tNnYbZFjSY63dnl2bSsHCmY9yAaG35pFxUx/
J+N66r6lAcB8/BmOfmblR3kmD3U5oqmipy0GYn92+JoaDb/FphNtczXI9nGPD+X1Nrc7dLUyrrR4
1u6b7y8P8l4sCrq7f//rf/6f//1t+F/Bj/ycp2OQi3/BVjzn6GnV//VvW/v3v4pr8+77f/3bAd3o
2Z7p6oaqQiK1NJv+b18vkQgYrf0PoTahHw+F902Ndcv+MvgDfIV569Utq7JRXyxw3S8jBDTO5WaN
vJg3POh2AlMc6MVnf14yh/MyOpsX1NDMnj1Sf/tErrWF3nU8YIDXyiHy4GaluxAVeN/yTol6j4UK
JgHpOogT81RNlnE9ZJN2Mpla99SG+axRSzJPoPKLjaIF7d1tnOyg5oaBZh4hmVxEJEUtsS2F2x8t
kQ1HeWb8OptHoJwiWMaBOw3Zmhx9Xds1UZs/FhFQWt8cf4s8oe6s0BvX//zJW97HT94xDds2Xc8y
XEc3XPevn3xkjeD4gsj5XmHjerT1LD/1rZqecLeYz2Fv19Q35pZyZY04kwHbGJAOmQ8/m+PKQzaw
rP2jQnFzmZmqheDNUD96kVMhoUDb4NsWcFK1C2H1/RkXbfWtTKsW95nwtQSu/xBRDX9V9dc0adoX
A9LUJQHLLVvdtomPmg/FUIapRlFlMBTE8+drLLgHqyCtK8j7rfUK1iJdTI5ID7JX5Mlv9x+K3+6v
GOqubyuIlr6G66nvN4h11N2R7PM/f9Ce8R8ftK2pfM8d09WgfJnmXz/o1hUuC9ZA/CAj0qMXw+cn
P+Eg8/hQLaQsIPahlic/41t3nyOLWguxv44L6xamMDqi+9CcqnvSOvBhE75wmT22mGbOjZ0744fl
qe+b86mj/xxVWPaPrmTdVQaFt0Ozylh1bjN9bZq7sSYfPmEQs1Yzvd21mek+W752lv0Zuxwy5noB
k9O3TxXyxou6c6evfp08D+SYn5kDPtwwBX5wUT0DoOFiSNEtnazh3DlOeN/2xVFGiASO55/t3Rmf
ZxT4ukL4d52B8iMwF2Ppm7chXNqY4nqprpjVcmJ9ss1jUB4h0iFI2EfDRfXL53HQNAzeOnJJbjP/
LYHyyXFWY2upn1XU/7eAhexraI/RScBhfTJcTIKi3MowTOXqv7vrfHlloIXwz18NzdL/8t1AYcfW
XCZAW9UMy4am8WH6czJFIKKFvEbB/2uRjbV9ULtIAHGJNI7Xc9u3rAPoa3UBPAyUuuy6DpBd10Nl
YbjbQxWv6hDTwUykKzlhUjouN24TApqc51Ifa9tNrmAELqdZu4PQLXtjXIMfPW9Yq06Vn0JoHCd5
1tbtS+W00e7WXiAQfR3R/9kpx6MD9vMiGXpsQeKpvuS6YAGXRHi9wYHqsukT2flsFwKMXxpBNX7y
+omnkDqEp8Trr8OUyemO2YCCsi889b6vY3XtW8gruHMo2+QByC+CPm6mXdtkeBssO2TbdfA87hbe
7uzOd/5wU33o7tlduw/e0JycWrdRC6PyrCT9m1mxoTMhO9xjhOSheDuvyJQ4+1Qb1SlCL+dr27Is
2omgCS4+MylgvRkXaYFR7nV1r89/tFFb2bYeK30lQzlM9yASF1pHDs5Hk4dvdXbuYjc7j5i1nOHK
vHTFoO69NnfcO8Muhq2R8RSTQ+ShmQeHdv7S9rm6v7Xfxsp7kkLlBoqVX+8XIwaMclJYLewpTS5G
MmrLocbno/Cs+CIPehZ9mTJzPMjIR1r87CefZCCvCR1UqMFT1He3tg/3GUSirv75B2Tp1n/8gAwd
VqOnaTzCbMv+MLkmYN8zP8yLL5B/Mx76IjxK7x6S8xSmCs9bWrUl8Af8ZffzoVuGTWF9roGGHVBf
Jb3gPSA70l1kkPB4XOqIWW5kqAwtZQN/uDBf+MUC4PePMneC+65yre2ogRj1kbruMRMEaWsgrbzs
q9HelnH7FrECYKeOskjD9AVSDLgFUHTjzRVkTWSbreXeQzwq2j2T2UZG02i2dyllC6RZuqK+jBj4
mECfPfMR/O5KvimmbQGF3w5XJGi6Jz9vw8c+BmmTB/2THFEhbg1mMc13Miwd2933JV8dGcKvm/mi
UY8YyCTuMTZcNoY7nuxiHE9T2RSYSoUqktgt8P7QBSi9lF21on7xCtfcjh7G8wEuZNt8xIEiGAbt
Ejo1wg9qqlFAG+H4z2fx3IZSiH4kgaGNByfRvD0S6tpeT8OzhB9IIIJEHsh2J45RywOvMKEgkYax
d3DtxDlPysxQ4ldUk+dbd+QmNhrOWAfWCvYuFKhbpGjxy/pKo4tkF3qYYvL8DZ/kAdnexyRx6qOM
biMgX4RP8qpf95AjogBBL4NfPDqAf86LcrKDXhqy7/z+oVmGTofydtBd+25TppxGZZ/ffr/NqfKs
NI9d7Vb2af59gzlN7g0HCLtH49aOrf6oanm2Dtx0eOycMOJDteLXNgQTiNdQ/rXMmjMpV/8Pu3nv
xGiT1AZSmtuT/r1utC/C9sTnAET6QtihsS/0OF7qc/pt1GPnGM8pugja1U5oyaOLBMuEHzNtskO4
T3aILmGnKqSwZ1PZhej0YHNbfg8iXecwBfkWPLoQkL/9OkmD+NoS/3kydzWa86CEmAvbauoeFdY3
iN9VPTBTC3K7bEQchTdRNn6xBpMRPUaxZe0LFexc2DbomdbogCxx8fQowFr1hdmneozHh1RxNyWL
i/vb/Efi2V5HE3PCderrGB26GFtpcbDrowRmywSMwjfbd3TnkezTguRimV69d1Tw/GUlyi9zHkKO
yFstWjZVhaAZik4n2zeZCEpH3ykuJr46K+5DkQloqfNBhrdDVaqb3kjD3a2ptZN+Y4xVNL1qUKQ2
lhOsTFMNT9T80NF3DOPsKjECPwizbzrHhKmTu3G3DktbXchucx4YDWF8r6rBSYnKeONGkPOMzsB/
Lq2QSs+EQEiClCa0Rb48ALAWteU7b6VjfUNGV/woEmhaHjhB2LjjVimr4T1RIryI2trHBdhEuLbL
q6ccLTvqAmRBoNA/YUERrdQ2gXI2dxpR45DJ89ayUzZhGYRKvF0UOxkqatofrGCWNemTplhMffqS
znnaqSzEsrBqo15jkJetIoxaDmGKArlq2qgJyFPZKA84CaEuPh9AdVv5HaJjP4fLRhky3dob1xyo
kPkh6OvBrKJ9GMWfKPd4Dz4U54duPiO9SOktKcaV7OiTfNj6FRYSWjYhMu5HTCvuMH7S9XWJiNRb
0en+IRiQqgRyB8rdjKfXSagqX1w9vshDoLy0PrBepYuSS4Pe5kEbqy+3fqOCQNoXg76Ubbpaf3Xz
IWah4PS4oKUjUmp9UHxtLLjpHshCsPwUuMkk9gu+Kdm3vxlRBCoCsYX5yTDH/BJ46CzN6VkZxVbw
WzT3sdIwrn05Ah63aO4boa7gyJn5SIW08RnqASWG+fdWprXYDA6S7/L3xt6wuYi6O/hmveZHmp3G
RlNeLRdNLNQBYNLW3UXVxC5Nc+UVf8ThvjSoQPfzqLjoccopQ0imc28ag40M60K7owbq3clb63ma
nrWmvb6afMmu7/JN5YMclmEMh2SDdX18h84d2kCTTm7FgcAvRsStOuTBVhrAmYs8IEp1GorcQg+x
frAMc2IXT7UWZcxGhyHPsvLaCKQNZUK9TPAYjXmEIUCyiiBdnwujE2xalP4BVSXZcmu+DQ01vB1l
R5ppwzxUdWY6fgEifhvlEMWGEO05D+XlH2Qkwdj4P5zMRXTRbgClpbNRn9ZO90OhaQfEH4d2wSJR
WealPn4x0mjv2VP3ogZOte8C97d2czDiI/T/9yzIjAsPn4WaGt6zNpTeM7jChRf1xUVGKGh/0iit
HGWkY4Wy6Noyx7+GoV0A461QpnQjwwjyGGoNjr6Ud7PHatw7+oy+hnGw7rQ8Xuk6dNnJryzEMkbr
oXI0Np2Q1d757T12WhK8ILbnbtFZM1Day8vj6JNQyRtB4VyJvjspuUem4PbJnwKKTeE4gjS3uwuU
6hbBX4bESQd5ldVG2iv8R7qwOU4Irm/+eTVp/s1i0lEdh106kAwLIZq/7tThZIsAumf6BYfLO7sr
W6ieSn2BV5vsixolVDA0zUW2FU6tMemn7UaGsmOCUvfhqkHRtmPuNcqTBdhCTAt38DLUI9vbiWlb
GQaOgQ4YGzgHdM2mPsgDSbdynVvq10lR6oMIHAQpkCmqD+p8kENkiAQ518nT28W/XSPvM4zV53/+
uDRT/bj4dngOoTZue5oJVefj51WD5gGgYvSfdeTjQCprIIfm9YQ2H+RZEaY81iO1uVRQN3e3Yt+1
Fui2Xr1xFMANskAoK4eZbgBV7hy2QHnAZtTWHj6cdXqqX9uGX2f//+N6vVo3VjBt1BkDQsrAJXNi
xwe5LZZhYMbJQe6hZZgAVf4tlL23wbdrmxzpxQ+Db2FQV7wQqncLddCcezfP8wd3RDQVou+TPMBw
w/XQM4yNVXrhUzp54sFGasnEiOwd3q+CZoBoqB50OlrbbCJD10zYFxgGiL3Opu54V/Pf/m4nCLNl
6RDvC40p2S7Q5IObLT4FI1O+Eg7aRoZicJ6V3BGPQp/KS6galLWMDLmqHKERpW1W1zCeEEHo/fHY
x934aogfcTaJT0C1BJgxd/5mc2ulyaJl7qr1XvaOJpZhoaheYJ4PbCd4B/JmahbBip7fwTU05xmq
E4+tJ8pL3VmnLABhb1kxuspBqi2rwbEOWVr45ygewYokZfTOj+MzkETjyVBjY2cjLbWurbj64jrv
SuOE7x8uxBb27Z+//7r98ftvOLZNktTWLV3VTdf4MF9MBrOmAtL/1R5Ydryammuu6zCG1BOky7Zr
/YNiG/4h7MrHEHmTjYxke5O1Dt4lc6+MY8gGkN4LY9v3JqUgNOTvBCwmhEQgN4IXnOqd0VnDpSzt
4oz4yQLR4vEim4Dnd+tOwT1IhrLD1L0nu2r1e9nkOH13X+PMLiN5GHytQCGRrApofW8V636wpvrn
bHIgcgg6FMYbi0wk71VwIRa577cBYTvyKeNL1BnBrowdgAcdooAbE79aGM2OC5KX7cL1Jy9/ylGT
b0yzOgQtUqcWj6VNPFMAQDv+PMCrhRCdIuBw60B4DxD6fIUzXyEHi8J+1wzfpgJWACnqgrY8qLOZ
ZvPrrJI9MsY72nVRv3Qg4njxWg5UBvWEMv75Qx5Ahrc2lI4noAz3siXncXS8ZRQabMsPyPkh8QDt
BlVQV3nFT+aLydz/IKO2ecDr1n1BHSV7VJ3wAatI5VVvw+GgUheDNNcqr9rYRhvERFZ1r/GMK6nA
Xpir48eafwiuzdaTEnMowz6n/hKXB9mWFd4mb7Jx48dFd1B8pUWxY+wOXqq7xd0tlme3Me48WoZs
+06hl6x0DKe2101cSPJiH/rFy616Is/MsIVim+Moe62hBF792zgrB/WI3NPE8kAzHzQqGQu7YgVl
zKE8qA24W2EWjzmQ0/1YWZFz13Q4lFaoHnwYFpco0qvIBbNSnHzzkNRV+CAPKH8nJ3c8y4BsIKQM
1wxf81afdmLqM/NO9jiRGy41U0NVYL7U48t0cKkYMOPEF4A54J0hfMiosJHICchDykgestQr1wgD
lbM2RnyRB7OAjNkWiPclXXgU1fi99jvjBZl+V0ayRhMr029R+GdUY5b2kiT+b32dn+tLUq/ZMijs
aY9kibqXZ00/TNcz2ZZMPcqRfQrWoU3LvWO5GEbkmq+ubKdF8ed6ji5RsslQ7UX8sNN3bgkCfsha
5OBR8t6Uyuif2j6bVgq1yQvqidHSFGHzIizKeX5fxZ+HLvoRs5/8ZgmNr/OAbg7yKnjpRGw6agS7
nCTI4Eml+LyUivtuh/Uf6Ie7n4SXYypSaNlLTvZ+6SOY8v/I5kH2+uuCwjUMV2XzyKTKZEr3POH+
Vg1MbD8UfVk7L3hnqXfy0dsXLSB9tCf2Mn09KMiTAhJK9/LRK3uzqP7Zq2rokMve27WyFyHuHWKL
xePfXX+7INSbAGxIpY8HUeLwIRqkuzLHDI6xhoKAPLNbTLPZDHc61N85ieXGHnRKPaoX7Jf7lwJQ
9QJftf7FZNPetuNSUfQH04yKt8mNpv3g5CqKT4RkCtWVG6CbIEM7cCjalk15nBotf7OsfAFDGbaX
BWg7aEJ7a7h1ubE63X5Bie4iN4JjMwHbb6L6Cc8Pa1sHSA0FTey8oI1xiRS72QZWaG4RrNurdS4+
Wwr2G1RftaNp4D6E5J218nK7ewVE9yqz3L+GZrX4ORSRKO061EUyNu8LZWk1unM04QtMSywhUD/M
2wNqCyz2WsybjroeZ0ej6d13PZsuNj/KdyTTfjjhYH+G6tbeeZk/vflUlxaFbXcvyEOijuTp7VMa
o3dVtiQpVAWRLfxPzAchgCL1ThWeQOqqm6E1m3u7N52trgze3nPBkhtKjnNs36sHt8TveLRxF/Ki
PNq0Q+GcUElUQIuM0xmN+WCV5317EXGewod1m+e60tnL66J/ZeIykL8YtE+Rg9x5XfQKxKPpE39J
9Y0FwBGKhfPD6vHobfNwH1C02ZY9f04H9PphzMfyURTlO3pIGv68porwoFbu4UfMYMf+TrZnQ+Ns
Kmy+1wMkjs9hYG0REguf+/Zh4McNoGKMt4BzpkeMcJESqrvkm1kiLlYmWK6VUEhbuy2gBqTBWgc8
eUAUEeRsYGUrzHuDt6S3X3tvan8oSbxuW/Td7DzWtyN7GvSFk/aS5b6xNlq1OzjxmDAhBgWs8bB4
wvaV6RIppXernNZaAewEUXcU56G/g4BUnOtBhggHwTCurHApOzRHA1IoT9Us5lQOup568+VwV8Uh
iX67jRzsRg1+N2qe7nTFw3ixp0Lpz5qrLd5YyH242TMeuMjnKab4YYSf+ymcvgkezNQkhfqol5PY
Qn9zt6YS6GcFCdtZQ7t8r4MKYBvXCNf9o9XV/KXIzGTd8tU7WEbRHxVNOEtEugbS0ZXKYzHOYKcM
T5KjKJWWjHmVIturdnq6Nd3a60l7ktGV3phG9fUe/22bvIl8haFLP2UG1AQ7cq2loxrBc9uV9anJ
3LOuxOGzbLKtZl8n2viAUWb47HpVtrSwqdjIzthys70ZUwyQITpf5OPsjemocb2oIeSjRHEy0ql5
sBulQRwV60uEmam9ddieaAi4dnNWi+pyDFrZqx9KDCWf9Db4bVg7djAnvTcjccZtQZoOz1uKzXrp
UoG2xp8HGWbJyP8PWMOS9JFx9rUcM4For1o++UrZhK7aF0P1mp9tk80P3UdPGtE8LmCVUfxf1s5r
uXEka7dPhAh4c0vvSbmSVDeIsvDe4+nPQlItqtXdMz3xn4tCIC0oFgFk7v2Z/X9ZoKt/xjjotm7Y
QEsAjhjcnApgoj+/TwpAF2MWptgo1T7JmBXP2nzXjfbaJO52V0xgixHjFMeu30pT2600tYme9fRa
7//U86/jRE+w9drT+xXexwWRVK67Mh1neBKQTnGbjvSKc5Cr1jj2tjmcRI04DHE+rCUAULNPDZUZ
swsQgWLbTuQFBHeouoZ7RMwsvOcGR/66dDeiJA56haImD4pyrhg+gK22ths0P+wBTjkeVqZlY0vd
OGdrCNxdoIV3QRo6Z1ElzqSAdE3jjUiHvzcQ3SpXiFrBn3WqJQxEFTdSFqygpPMFvHBscq3UePBh
lu1ZP0T4X6jfS+K8j4Fi/xqRKHsqFdTTB9R7doobGSfED/2FGnvVNs86B6swb0sYw7hHizd/iPJ0
HSVm9mymXXgwGmKDogjZXOWphVpy2af58zCqwVyaFKny5iTFKVBVANcLomEmt3lnZJi8YL1e6ae4
ktCOAHe0bBOly9bDOH4zVFQEhwhCHpFp+6nJ1XuNZOuPpCWFglRj+WCi5boB0szL9a89iF+ir4Fc
y7rscmU14l+8N9UkObIHzpe4ciRfeJf9FFQcVX1t6qa6QFu29I1r4c2l6rlB9CY2Ll2cKbuQSAny
lJXxIiNf5vdG8kORYGKJHnx6edcMsMIsk/RVlSPs4icRS/A8H14IqQMSLtkrq3kQvAzaPJDsbu+K
ZYrrN94hGPpDL3sFRlpkUWqpmty0QjQ3h0797Sn6iTBz9L1EOh+zRcd9tlFYm7MojR6HNlAWLn/M
JQ6cepU6Uns0/GTY9LWs7oag9fdub2SbzIYLSrgxXoWlF9zxP9YsWo2E8uAlZrViDT4etWIYF5ma
aVtPloYXLLvmVt47xMzd8tiDxcZbjnrdxQZJ83u6TQ+uvkAu7b2bHBXINk1PMOCjzFbjliC6RRGm
XJHzm1d79KzzFSraWL56cRcvY9MGSBIWoI+VyJ17caN+R4U99mTzRyDjDjhiEHs2PUfdVXUZ8GHV
4jnCISgxI/NHEse/UqkrH62iyP/b0tf4M0poelQ5iqarCuE02dAV/dOjqu4jxcKaaXiSjcSBLfbF
1hoevCn6RUbroGwYR8VrEoT5zJTq5tyihX/Xq8qzqI/GCMUc3C/yEqOEvI+2YiMiikFlfCyKVjOr
90WQ3zmjHR9cJehWftkjuAIibd4T7XjVkhGOcY5Wj2Nvc8Mqfldm/g2RKftZshWIGp2SbEn+/K7r
St5LckXypkFa3bfS+0p31IdyqvdB5CG8qA1fW2xekAHqZELvYkcPV0RedUjdzsV+X2z/SXD1xwDt
tq0ZW3oNm0NGQcvQwrUVt6wsDZQAjtiQl2/BdKtTFk7ttpiXp0DyfLnvDqLsell38HqjISuB8vmn
BtHFzE2GiI41emjLxO6B0ZoXVOGruzLVy7sGSU1QR+ZFCtvqzkd17JBhELPIZVU+2laNRJo8bYZk
OccXJ+h/1gEcWSinvy27uA9dW3pJ4IDMo7BULqM1sReRDSd9+cdwyJ1vw/nmrsNNw9N/l+iRjNrg
ndHM7jZW0KdnREdhynhm+lKWAZpSlpmspbJKX3zLfG1cDNGDYgweHHzMRfXgpPYmjip/KQalA7s/
XS3dA+Z79XOQbXTNTV4caPB7ssQl2rQUe2l4kMb8LJDgaemerNAoHj2UkfedgpShqPdS7+wqVfGo
Yb2XOkiroVC10uuaJTgr+UM1dB8PtzokDLulnpXaTHS5NYhiY2PCm5OXWKRdBfBbTeI7B6mYJcsN
mRfl5PwWJjhCFYgHRywLdwnIhb3GDbrRwqY5+iX6GbLXoucTYhs0JGF/j+qvO8/ttHpCY9qdAe5q
XmQfLdwEVetvqjvlgPMMaZVqNeAzh6oSSHbDw/9GG9xZE3n4EWG7tkcbvP7ReMGD1o5p+BuDDpar
U/6sr8gLuE10J0+lzA6QjzSjO9FGRufapk2Q4fc2kZP76zgnKv1F26Xq0sth4uIYgQhNBsZNn3i6
E352l+V+ixjnROLFEwyydJzX7oxfZPOAvfeWZbz32+LEd7PglVgIin5SH51iJ9Z2sgaNIwlV68Eu
yWJP8ju/cDrj7gf+qRQyOrqpdG8rMK1QTw52vefaJ69gvVmo8fCaFd4+cOL6WMmRtraI5M0IfHq/
UUxIUtRQsF99zUguP1tNlC8KuxnPmpUPm1FT863mQk+NpBhRxxD4f+xXyl4rleAoo7G/BPQVPWtd
jCQKnwmUC9Inuv9tiCyFneHgYz3Z86Qp4FB7ZavdWX6EQxCWVd+t7itLZnRosTrvjkEPPwlcQt7t
p/xkl/o9Cik0gAh6O9OVoZ/VBvR3eTDMS9vVr2Xu9C+tPQwrK9WJNU6IklrRF2gQO49D3KHIbGfB
XK714KXJMMHU+HlsRNEZS5j1XnePpVKNtkf0oE69nEyLN0kNJ0f0InhH5FPyf6RG15zIJ/BV5EiK
30BSI6LqZJoDYvnvYCvU/xc4DXVnUYVoB4JHmDGRK9DwZOmNHbkgZ63nFU8GGXUeyHjNI9Q5c4be
Wve19vK7kF+Hh+TcEtGXzJ9hfbMftNb7Xo9Kg517oD/J4+m6MMBVlQf1FxfHlue8VsZNk6ToiE5F
x0FMXcL1YX9t5c/qUs88/ed1uvmXd5+paQSIVcO2FEdWrU9xdAWhWXMwC+kR5iI2PS528kMxtme5
S6Jd1ZWTj7qfPboZyxJdTayfObhAr+YmvvUdDLCrA1I5hUF3yIoo/fnxLM8089Y9ke23qWMJbeBr
32lqA1+NWeXW6hyPRitGExA7nDiO9zUR31/wDnZ9k0Vf66rV5ygSpBcIJuomY9+xwS0I4qU9hUGx
3PiaDOHeY1EuBmHbFBEFBacxgpsQBIHcSIJHxKFm6pSd9zuk3aKO5O/0BBFt7yVMzT63TeNAuVj/
BYcKZO5T4G0SAdEMXj2mxj9d/gSjI3zj6sAJrUeN1O4iaoYof44NRJf9MVoDFKv28MnGHAceTsuG
dGQ9Ha4tqT44c1HZxRWZyHGw515igCQ1x6PAuQg4jDj7hIn5VOw6AzuJscYluOZu2urNZHJMPu0B
xTwWnXbb7BWpsA5oSiLFbSr6U5DgpTPtgn4lObYbmfFTDEqkgEEWvlIofr4NqiKP29K3tScrzlnq
x2cVpd+fTdctbbXiLim8bA47Jf0VYEVhoX/0ghsYUgeabNzDqjSWWRSYxxqJvM2YR/I2kiP/aAAX
WOkj4ieOr3/xXQJqMSCbAyE6bO6nIIyUjN1jClyQd2U3/EK4Oqx1fiDg8cB7tAi64rO0xDv6bRCB
8OA6iG1r8T5oEEiBEkuiEuLsdRBiyOVh2jZdr+SqUvcouyYpEgBA61ZH9h5ZQj/4MtbeN8WwlUOn
ReFuzEOHxS5RxsplLVv1vbcRMcgCBsrMKAbnGoNMAoAoAJOectxTOxn8piQpGMG1v6u4Hb5CpupX
JfGUjW2E1lRdaGF28fToBQMA9wS0v9xWlfqc1r17ElXiIIpOEq8IvIeHT/V6parzJunKZTrcRw0a
NALQTgakPIiz20HURV6bb6L0wBPKbtm3yQ8pLmvYd7rGQZlSu5YJnla1UxMrcVN9Eq1DIxuH0nnw
yr7aqkmkPUejsyJJZz7IveXflX73EKs9STB01TYKvGTY46q2lJo+WGV5mW464u8Lcdcq9pBunMFu
rkXRmpjI5ijD2sjr38a0NetdGXw9MC6qKEqhcizAf9672U9tsKRDhR/1USxwfWUVWHJxvK55VRsz
UqLzarsgOM1yBu+0ZYf1HJkSH3R1N3xll+kthsr3D3noJw/GGH6sxwXs0KdG8jD1N5rEedXVQzxo
9jGp5fQpavylLj5RkORblv72otNaeWOOBv8BiY/AUF1D54387Emq8Yeb+g5pk28T4sPzLlKbh6H3
83Vua+FKJArdKNEgmut4u/KVPafhJZeVYaJePF5BMGC9tMWo4VLK2tjaJW4j4QRfs70M6+LFqKOL
N8U62zDfmYhDv3YRGmHIhATnwg3cLbK01TrwHP0+TmNEwcGq/Kzxk4yq36krG69pdk8wGIOF9xPk
hj7VfGyCI5QihvOhT1rU1itWMV9EygHsy5QjgnEqkgppRcpIDXDIEq1tuQV6OXy38T4b2Ku7/HfO
YTXWpxhznUMDhXwZ4zL32iQlDHK8rJIMnQxHgSwfs0gCCGhC8oSH9JTU7aPogQE0G9YgfqpzpNUh
kARbBWew+2YKvokeFjL5udEOx5xn2gIz8OpcTodONruF7CfKwlZ8pLkiM6TSMjW8O6zwKemDk6bG
xUW8fDJKDMgv4mc8td1KqM98KL2Pw3Op/S8vH0e2/vr+n+A2ZH4UEnWKY00siQ9pH82QIFLL/fA4
OrtSUrpmGyRgkhxHbxfIGph7QYwQZ17jsgHS1ThYhJUrgSVr3VWTugZg965YKMQm9gU66mTP5cfI
ivDv4FG1RpYkXJluSlR4AhMLkHE4etUZ+12MWHLIRfJY7U2erF+g8nxJ7Ug9i5LsYdKRho9RQNRG
MVN3x3Mb34rUMl4HeOAWQLm73KmkUzS2/aQWpp4GR0JYPOrv/Lqtvid+89NAz/21JLIGdqEdnkOE
sTEQjS/R4HWnLDRyVGHs7FQ6lrsJla7aluxO8eaS4KoU7UOvyuMhDnBkH9X2YShSdR7i1royHbIK
Oe+6n45ZIf0D2ihSQox53fr7gAXCfaInaJ/pHkwuxSm/KdztqZpbz/qg46ilm+naLPLmzjfzYwyU
9zVOEDWeAIZy3fnzocv8ixUWd53kh9u+D8y9m8JFEQdenyAUEWBlnenxCs2yoP3dqbxvydAEhfPi
wzdf1ppc7tEvq8+kxHiVNsGwRP6qWJWRq59Lnk4QsAp7hY8syQfb8ZEDbSLr3nYREgUG900BMIMo
6uRlYmGZxuJilcn2M7Yk7XfbDrJZ0ZXVMhybcG3CKp7zBOieHROxjlL32x+eMaxLr+j8WaM9tqnu
/DZa6Y6d9KYmO78YLBgLQ6TO61pBUDfx7TWCUc4+Q0J9Y9rSDvXhdKkgfzPGuG/KoKtRBcY4oAUX
t8rchh14Wp/VHPxeBejwexN1F5tk6y9STsRsLGeOKD/2xOjI79AQAMpt+Cc6JLiJZa2PmeXYQluI
D73nh3fiUBTId0sREL6pKpKkEgsJdIOE/lBnTbJFXf7S2/mlMNP8EeDto1I68Rn6mfyUScqXzFOs
kxrm1XEwygtEACD9WHCwhfsVyk16kAPvHjOmYetZSaDPyiDTDxIBaGc54uz+2plEjfNGLleiKA3m
2c7ZHppq250as+7xzU3TV10KJ+/Vxt+rTnMEpmmDf/6Dh+M7nBW+9jPKfW8NcfWNnyM4NhFBTMI1
UxdRdvzqq2ThstG6wxOZkfRcxOETq5PqNCCXNWf5pOww7mm/yDZPaqDhyZogyU/eu91dYrfase+t
jRHrPkqQZklATweCPjXi2Nvdtb1l7fIx+k6OkR6dYgxbJ4hA2olyoFqYNFeYbuE50C5zIstfWMY0
S6D3vNamoqmZCLI6SgOjZ8xXgZMP866upIxUnJbur6eWjjONy4rLnndTbeTxgrJVae6jndj5zi6t
hksxhMbZTuo1u8+l7mg/sw4DMTmsv3e60V7GOsknA4ByVQavY8l9GLLTGZqw+t3pD4gBdk9V5DuH
wh0xTsEtZNFHeAo3IY/0QGrcjdwFySzndr5g9Jxf0unM0pVLwkN/L6pEY5tVybpDnW8uioCbkpOk
lN8hXe6zSaWsjOR221W4voqiFXgjkbfoWyil5mPQDN19glVBPJXyTAa+6bXoUsq9hOkZB9Bkb2dx
pLXr1je/3apu3W59HS0vSG1w9feRFiaSoHh/I0lr7/qiCrd24zp74pfJJtAV79gFQbX2Sy06kUrE
0yjXivNolxY6hzKqM513cXgzb7IkS/apPdY7n9t/0wSZfdCyAU/WAbvWvqhRWgf3cY8pBGLKeic/
5vEd4vugDuwxQag2DDetXpbb0HPqM2IBeAw4cfmquulRLrjTsTPbNkpafQ1L7HVB6iUXjbTrBiCV
vGnzJpoXWOUsFaKoW8Vkts6QplcGYhw23hzfoDIvVbk0f9l58qCwhphXBBUvnSYtO6wNf+uQynye
ha9eyyfs/Ci7YETZbMqhPtncSutItbt1b4CVkS2b2ILpq8+yUX1XzST8nZpHUJoEcrmZLya551fL
R0e/aJXqfkQ3dVUg8H6wsZpzQnKCridVFxhGzTytyAQUGLfhdBH/ktEsnTkpaxITOewV9MJsP46a
cUSMSln4Tqe86EjREgOxSVQ6Co/sVSUjVxL4xoiMpVzsCFNawMW7X3AreFCStWdHXJl3SdWEey1A
INxO2uGUONP2xTC+h0ruQcuoh43i183a9FgiKcFw14DS/eEAk8N+JhnuhwQhkThGQrZM2+aZ8AQJ
EnoE08LZLrLkTu3wEmr6aiNbXry1RmRGlRHlOP4vo/Ug1+bZ0REWCbrCQ4IMevGgBijR58Dx+8Bx
Hw1dry4W6l1RHs46DU32YlJV7ev4GIyFuiaDXC8FuAsPmGxhdkGxFdCvJpzAGfBoT6K1alDWsQz9
UZbbFLpqRsgUAzKjbOO5prfdtmkUbznaSvoKEeMXWZf+UjhQOzLN/xlMz1wDX9+8lXJsX4jDooFl
btugHdZ9G6X3nto5xCub6ofp4FGEROgvXKZ/FXJgPRWyPqJYHL3aA/6uWao5l2Q6DAraWmrIDxW7
DlVChRYB3rG08qXvls5FdHQcEwHRUHdmt7pcwvSjNHiwTLOIbrHRmxf7Ovd1sthU1h6ohrYbn9Fa
9Zd2lqdQxQkAwhlk/dxq8cEJna9WpDnHQGN/7VcPo6YFc3VUD2Pl7PWkdHeWY6PLB0FlPg6+AvSk
7jdOXKlYHsbDOZ8OwSYdknTF5jjY5OwUFjD31WcTHwmt7Pvf5OdGkMosVNhtl1KM13XtZMuO2DeP
y9gbcc7kQa1Lxl3Pc2QjD1K4iAtTeTJDz9q4Ef6n/OS5X5X4BcxMvBjtigWXjCvz6IIeSTTDWoWm
1i86I8LlQh6sQ1Y0TTsjJfdgoHa4EXW3g1LZf3SpbJW4GnLCEHAqrMyq6tmuugqvVz340pZZtmgT
Q7tEjs8WFSwEeO51qI1QBCAkgO+JvU2nFh0mzPWxKzW2gESoHhLyTLMC4cutqFMSzZy1IzLGMLgu
uDhZv8hFLTAjrF3Pvvc0VsmBKn+TJWmAYp6NO11iIYh8O0/3YQpNFFLHQjB6QbQqfu1kH8A6cKAJ
uGwTAPd3oNLbfTNq5jzq7XJpgqE3/ICEpJdgo5n36TYYU+6HXJawURoxt/Ad936wunvP9I5woz1U
wkOJAEvUrFGNz+6Ip0FJlhDMlJRagonBqglKbfmE8VB47IlrEAqpy6coz+yTE+mP/H6QxRxg80CX
tRsvOlsNwZ4hvbJoBR+sYBe3KFoSwIJUK+pCNAxOdf5DFEzfl5eZ1UWTBOV4iTwXJpVS9zATtPFy
rZMNc63GNtiLqYtoYLegnw3pIGryDjlt2cDFt5YaYBKOVRyaJn47i7U8WmYteVf0J6pJuJ4+11Oe
RPyuYrldxbwJj6WBZShOPCh9K457FAd+Bs62gWmFNcR4NEqTF0AS3mFNgy9lxmNRSJ4qY4/zF9/M
1pg0T0VdbWc7NUKuKQttdV7oMLua2CQL30frUcaVKysQLtJd7SIPgzHXsHq48/nU68Ea4o3E1rJQ
vRE22jCFEM4gWBetIeu8pkFuOrkKFyfUX1tIfUe//TloGYnWBjkSxyZwmweRtavcirXYdIbyU5Ve
K0VZHGrrRJZ3WLVNUC8Jm5KiyGFCdlL86kZ+9NWQCPJjyVB/4XmvzOvQ9R7AogRLPSzdsynzowii
b2yuSMA3OMaojcGrZSqKAzYFoGoNh+gAvDaa1N4ydynC0F2sXrTqPtAriI2yGUMx5wsOnRCDOdkp
461rYjacjgqK8vlIPECPjBijEkm7E4fChxLIaqtZ4ar4VlfWDQyjXi22fVzq136dgi9YTygK7WFn
laOtj/6qou+wURlnjjtkj4pvVvddhXVrn2SPutUunUiW7qaFuttUyrMGYvVAgMC9Fo08wRJt6MJV
ouYhApttLy3zzMdGUI5jcrHZD5zysn2YIs/IvRawY9b7OwMlIKzt43FtOK69j0rpix8i39PBkNSb
snrEj6Z8zEAj5RrqTbknlY+O1iGSNgwNT1iKNnngtdISmnFr94RLUneEuuWe0tD8qYxj+OwlYbkN
ZMySCseLcJcm3aN3VbARrTAicK7y9Rz0Cq2uZCyIuEgPsq3L97w/gLFQ3VstvEUfnQeTjebekkYA
g62hbQytQgXNlU0YU1G1SQAwLeCBm08JoYQNSHx5QVyfVnyT1nnG612KLIMQi1+udWCiSzFWdVpv
nSt5s7yObQCd8bYnzjd1ZoVXYSYJMl60Ri2xPx0NsmsRmBYvLGQdV6Jz2sXkN3tsjkVn2cPctMQp
an0d2/c4KpPQXovOWlurWNTY7rU1NiucMc2k2FzHBh2Jt5aUkPgTohEbNjKs0RpLt41hOe259QZr
hfFFfrCjPeiT4FGq5q0id4+SYrWPSdl/gUXlHDM97TdFC3lT0vrujLvyFhlVB+6QFJjXulr5hhNE
frpWtYgVnHSSza6cqzi7s2MGaO7vkNbszmKOtESojf1zsLbTfp5YaccSL7BQ2w3jvedB/Ib19iMl
OPUtz311BsrDOCeuEW6C3t7V9ZhcGiN6auTIe4aPjFCPrmB4h1LScxnhl0SsfViJVsAD+H4UsbMT
rZlePiRV1l68wNa+NN+qIvE2qo9MVN5hQYc+Z4l0c4ErW0iSEynrcdg5OZrIGB5bf5zi3DHsdGRK
1fmHDh9O9UTB/24gfOAZ9y4kzC8mfx4JWWC8veN90fi13blxthMlyej0c4hFgiiFY5qdcFz/IUol
fzT07QCn6B7J9bEsmr3dk6MTs4b1iMwWyJRFaEraeXDlt4MubS2p8863ahb8+S52vSfR6VaPtqay
9AcyxZ8aMi+UMXiDLXDrLLoQj2CvY9qH7v1ybsuG0SgV5Qk+/Cro6uHVHk13MdaAmgcllY+ySrgL
7PTCDtkj+0PpY0YGCV4cikkJRJwham5ze6e8wy1UQESd8n4WZwnC0y2Ekk8NorNo7RrJ+9AK2ccj
hd1VRCWIvV5nrSr8xCpkzsMGUjEBlmFMsSoK3g7oKaa7eDqIs1vDrd+t4VO/f9HlNv0IID7CYIgL
38aJ4q3P7Ur/osunqW5j//FT/uPVbp/g1uXT9BX2Nm8f/x+vdJvm1uXTNLcu/9v38Y/T/OcriWHi
+1DaoVg1fnAvqm4f41b8x0v8Y5dbw6ev/H+f6vZnfJrq7z7ppy5/d7VPdf8fP+k/TvWfPynyDiWr
Qy2bIxDC0i6YbkNx+A/lD02kohiFq/rbqGu50TFkEbNcy9cBH4b97RVEpZjq4yhR+7f9b1e99ZHJ
O4/LW8vHmf6v12czw9a700NW57crXme9Xud23Y+1/9frXq/48S8RV6/hQBhFh1/6+7d/+1Sf6m7F
zx/0H4eIhg8f/TaFaImni36qEw3/ou5fdPnfpwJT36DFi+WBHg7Vqel9a1mCiMeAlSIO5EgG6GkF
cociGC2cTQrbXUh2lanruMI6sSodVpRTs+jYDx6YOMAriMjW5U7N6l5fiGYPx3g9do5gfmHQiap2
dOJ94bAKzNVcXasD6t46SSV8tos5aQaglwSn9wYB133Xo1k/w1+QfDgmxW+nRj9G0lzUioNqvQ28
VV1HT+NcXC6leVnF39wAD3Ic4Ix5miTRmpwU8Sg5ye5BZW70Iq1PiC2l9xLRl4Ph1BfRJnoV3LmY
W5X9Alp4ei+6qSi/znyCLTvRBaMOlkgpS1NmFR3iPAPDpYfK7DbRv7w6/jQXy1Bdgqh/c2VnQHlJ
db97qUYEbhJcHEFigQObxBZF2VItHxE656351qC/dzF1iS5ZTxf84a7DxFhxEP2c91mMIsJGToe8
q+QwWrQyJAsgTsWBKKEVQp2h6Xa4dops+wj6clh/GAPy9I/uH2rRWoztea/J3Uyq/JS9pm6eWsz0
TuIsruJZ2+JE86meBVGwYH3Kb+jTgL72D23kodbwxxyihzjkbG9RgTLb9a1OnPmx1W6gQf76VC8m
ySt7X+ajuRONosqKu1UiD5Ooc2eAmSRPaEwHrUT93iyda71oFPXi7HYAXmfuRXEUAnji1CaZ4pbh
21gxrNIDdxFoJT7TSdKvgABgTRKOqjNDX6+6YLNNkARbC4lfLRBqwnZmvwqdrL50nlxfSiW3dlZr
P4qqWz3yW49IQtvsNegqDglw5JWpe+18mEaKuus1xEy3SnEd2/KG63VEg5yPLyg6VzirQNMVZ4hC
3b3xdT9RdxHhc/LZte16Lji7gr3r1wNoh3rhFMHRJ4e7k2tNi1HyL5JqJxUShvAzV5LLP53XWJTL
c9Hdrcu239cKQpBe1eJuE2pv3OlIahyb6AY06ttBy6t+ZRDNF1UfunxmXot2L7ShY3/oqkluJ4YL
IjbyBbPAbYKvRO9yQMYQpavYNvf+BIrA2lD+mmSoA3UFFIf3Hr6pKDgpd8lc3X4C/UQJ4POVqLRG
PzvAfzUIgCyyd2wQmkZ7zJzIHE0RQO6U+4As6l7E9cTBQkBrY8Z1exXNy0f8ethSxPc12bBrP6AW
3RLVkwrpuLy6mxQKVkFdhgvfCJExBSmYAgfBc7lznfIu74byTtQpU10DqdufV8RoV6Ismj/N08vh
GYcZb9uaVXdo4T4fnG6SURbl0PW1va1i2pv16eLaQPAJPEBvNd99rQ5I3KvtXJa8fHGboUnDt7k+
1WGnru1d9fSp2pQDaS2pOAtPrwbxuvjwXrm+bWATjXNiCMqHN4zo+R/eSNeXTOcG8twD9DSH4WfN
XYmMaYLBGGKrGW7UZUR6hUP8fjYAt69mt7JobrvoOuJTvSiyg27XIP9fqq6xsbTS2e9KDiTmRA+k
4+2QutVbUffqWQNM5CAaRf11bAsbZ+6N5bi8DSOq7i7avFDmyCmh04pzM5ZCoNMXqq4FASBgBeM4
q3rVBlRGd3VqdYc0TNmYBlWxDce42EZabMv3nUHsQMaSZS76lFPHSFAVhsm4pyHrRhzyJKpsHxNJ
FqMd8iCVIidzB6Hj2dhb44bXnHKGzKqexVmCsLo6YuR7q1cNEHKJaqBdRFdHBlQ7U/rcWFt8bCh+
VN4OhPX4S0B9LwLJmTIDU3Og4+isvF9N1FXTJftMIiXD1W4fwC9RDW8rfBz//MH8NC5Ax+hzGKzq
doyDAo2PFBe+JkGoUsJYUkWL2m+S7ruNJ8K8hNR/cd/7Bpo1furbWS8ll4kL/2R6CimApkIcLXYq
wkmpt9HQa+quzYUZEJEE6fBWl0GsyvoiXokR18FiHswaCeoVPk4e01wlOmbKQsxo9v5GdPk8ZJob
am2wFyNEK/Zxi1i1rN7EZWxyD6zwbuW/zvxp+vBElKj45pshuh5GFZ+LMqp2vepjuA3P5VH0FXIt
f+4rt6NBmgbog6Riy2IpvJIEZ6BSWwkyTERxIhTIeM1fWwXbQLRaNkAH0SrGZg15yDcZXpd55jp5
8hkGZSrkYZ0IfAF+6lYUrQUSJNfWJMv3QakDaKqUdQjEA7FmnBoRKoHBM53dGm51/tQKgkNZmyFs
BdFPHLraemuAu/FzJMM3dh1J1NsAcYlPM4lLDKidzESD6Hy7djx9KNBX1bEA1qRZOta1A3C8wOzD
V3hQTj3Irx5fAMnCQF8CwFdeC0MBZJUPD0PWwc+TIkTNWg/J4FS2SH7K7tGLR/leCfjBTsPFrGmd
ltueeO+/m9XFlVvpJcmy5iwet0ZnG2vFbWFmg8/C5FxqD4EaeM94D2y9gmh/bYfjY1Zk834SRoM/
l51UzFlm3tQL0iJrZxNvXdHqYKrBn8KUolVMCSuvO4jWQJc/TJkOKYli5rDr7CcphZgMg5OBoLea
e1mK6m1j++YqIWD/RRqDk3gP33rEAD+3eWAZK78ycMzQUafCZHU0irVYJ4/YP+91K51/WitDqmQF
PsqytjfCt9a3OtESVOWHlqHn9TO7LtVJ+Gy0rMKLGq0FLUaRPdarHd70Und6L5IU9Y7iMKbWFnJ0
fjQlB6xab2ebSrGDe3FwAHjkEVg8UULbQsXMsd5rrV5F6Cwn/TppupaHLANG7v97C5e1eR0EyjpD
ii6aD7W8y+vGOooug+p2J9Me17cBKq5QG56gsOrFAFfOjHltFMG1z/W6Y3TOs8y/TqIh73j2BxKf
4lNYwPA3TuEaM9FXHEBNxwuwTd1Kn6YfJRv1bT3yHqR4IYdou2ZN1T0MXqnOg87wN6KuB3F7ABX1
E4O47kFUFZmOVFAiH62pqgOdjq22ySpyKuZs+u4140W0ie46dnFzJ4GyU8uuvhsS9xXtkG7vYGi8
H9weFLo4FQce75JU728dPvfCx/NtqOgjim5We8VMlJE6C5aqMbbXOW99kiwc3PlttJjXKIe3ya5T
iHKeWI9yV3rrT13MSuaN6jlPvlHqyCQ7+s5upQDs4ChzKg63smgXPUWzhVTWW09RNm89r02iKwmJ
Ya546IyITmIOcXa7pImMnTb/26uJnuxRfVQHQSbKatWfLQQGF1hqRktRbB2fulbrz8isW7MODYrV
pwa3i/EfCuPt5/qs3/l5ouzL/0fbly3HrSvLfhEjSIDja4/qSVKrZUnWC8PTIjhP4AB+/U0UtdSy
7L3PuRH3vjCIqgLYlrtJoiors2gyd0GLjP6FqWq4jVgkAU7KvU2AneXZNfNmETbTsKMhHdLOh35H
nxxpVEP99tw546pIhbgr9Siwo+iMxszrlBosHKcOwnKhgsbPMugkWAaC/JuF9u94CY6XCT8RBrI/
mq4vPNpi2LRxDpxS3YAaXg7nxjPFBY0AwFWGFzrwxJVAEDnhPtM2vwVQdZrA+U9eVOu7uyJi+9oO
3iawHhAGCPriRw4TWtHytTf1oI3V04G9LY596f1zjUdrIOBdbnumgLqv1TLqhbqh4SSrDmA0N17S
0PAz/lBUT3mavV0NKm410peut+OZTIG6KTmSNr5WywCXKPSsoeqzAsV6eSJbDA3lEVv5f8f2jqNR
7kSGUE+iKBrSgcduAhxNGa0+Oa5DaGjZG+FAOLp54pZfnUbFozO6ilFsAiv/0gHwcSWHdtqgCi8u
oR+Lsxn7CyjQ5X94aa7dBQuKzbgfXWg+mvs/z6cIAXLaOeJ6hffrk/O6BkDB4PIFCD1wYvQHCHB4
pU0Kon8XzTsn35BrdGZEIBJwhh+NTKJ9ojHWC4ru3NhbKsHHezpIsKaeqrBds0aq+8JFk0eehJDu
0f9CUEx/DVunOc4jH2W01nDGRUp/jncvfbr8L94MKbEPczs9F5rC4lJArPAGteoIHU4ZWm/SqtkD
LghuKQBgH0axzGJd8NeW0kyCvTsW/5BrDtJ63Vntx+vrnGgos4Xqo7d1yAFy1f+P61yvPf7Pn6fr
J3MJTfh6XWcOlDhbtu2hzbKTIcf7Vtb3/KhqLINXr4wfM5cn+xEtwIV2kGkg7xxD4TWactaWDNBL
oqdQJK1NQ2OcTEAEIhA+ybRWazKSe74ihY9oQlqj+Qoi7H6cvt2lKwWcz6KyubrpJrk27Tq2l0hq
2Pu4zh1At3HPlxEeeUcaB3R/Jz9yOcpfV7WUN2/vNeEY75DlM27xA4nu/C7zoQopIbHzbjO1w40b
dOY0bLYXYN6x59O8nF565lQ7mk+zaIKFr88K3xTQouj55Bj63D+6TBkQlRzRzwGhMmAl6uP0rlv2
aUgOsimwWkO+Ea21/3MsLZzF0TfPBSNa414qgxtLOrMBWpnPCm2rMsO50Nn/Is73fAOoYCQz/Wz9
iRuLhgwwXqOIAZh958wieyP66AOPVgZoQQbNyxQCdSfLi6pn9BovbDsHxnm0OQDMyYVrM2RdU4j0
IiVKQ6dG6z04kgwAmKfymVlIwiMLBMJRHYw3+nmNCe8094knLhGalZ5xSPGztfEeA4ULF0Lj5ras
vIc2dJvdhyGaQ3Z9BEKTrdEGszcCWdk5cW3nSHolUGI9O4p3B5IwCbVISRsbYMGuY7bySMNkTNz0
CKXfeQLNooPPs3kqjWj+6KTJ2gOUZlX5dYZcZ6e2pRXzc4VGq3VXIU9mOw4EjbUtNKBcV5VuO4eQ
Q2EBaEAHxb5i6lcXOdYeqWF+Bqnp3kyEebI66UMp/FmhV+wstUt10jhZ7ngjuRfES9xC1T412D9z
pI1mLaDT7XJJ17x+mCwC13cCWEwFDPuB7JkM5LKGxMd2Xur6YchNHzDxsvmDXJcrn60g9XZFwiIQ
JmDHyPV+0o+N/gZQf/RtGdjSL65GS03A3dJ+kcKB+UYkSOvnmOsSV8fVdl1m0stM+J1Crnh8Qgrt
GQ2VxqMslbMtO7u6kXmTPRoTOMsAfPzxe8AYQ/CiiZCWISogZaJPhoPIi8gATeHylVvnH4e2HlIw
eSn4OiTvp7mlC3i6BMZ6OWi9tjwFHmgM/RfgW61wH1mgS0cTD1i+mgr6bSTWhtwuP1F0O0KKvOHD
oZT/ZKVj7wUong7oJMV/VW1UINgxhhIqWNrqcxSVkBIir9IhdEaHpkWT1Oz5PHZjyfdu/6MKQGsv
KY6WozGSSB1aoaGWpSLQtUdpn6MNGgc+WcK4GWsk7Cc8R5a9Azmsf7LMzg9AA1dIfcZ5fmiBiFpC
BxiinHpS62fBOu66GO9WhWfYp7oy0bU+KHQAaikpPQRrlLoLRNiJpQcxYPI6Zt+cJ1CVn9CA94xd
Z/nS5cm0sMo4fO46wJGsvlTPYR07CwjqFc+hl/mLsowCqCi0UMF10LPbcXQ0oWwQ7C2PQ/JN92nb
SRLOQ4uoHkBD82F49VLw/3ZulkXx0huwJZe6+5N3gMfwBlLgcRx4J1eznaB8BhS7Qs3wMET1mmwj
IJcTtHe1W0/J+xJiknoFGw1d68BizdpvjOoG9Cn+OkXb7leWJk8tWgzOZl+zO+hlZguyF3lvr3IT
MPJAg3rR/oxXM+slnGq5xx+ghVJJnn5Fd1u7aKMgvAUWcHqoDHkme8TyepOFtoPEGC4St3LT2YAT
SfBsPsevXCTjz2GKIFeA29q5r+R0A/WT+sa08+gB20Fg6N3C/Rm/Mgn+E4oEvZk6uwloYd7erME3
ic6nQokVKCwy9EBlyBo1uoePjGg1yNZKedkJaDzvrqihcGlEDp5m72dRgVQp2eL3s6t3PkvG8tQV
IMeKI/cs8Pa6w3eR39IBTez2rZOE5tbNeKnFqj86aKiS8FxVub+j2GsEeN6RCXOAOe2z6AHkfsXF
arJkHZqA/ZctGscSo6qWTu9lP+SYLCdbja9R0iTrqYG06zWi1SWS/xpBPFFZEi/zWKhXOzLQ8FGA
anMLdpscvyLDFHeh3oG0IvBWDrSwlq6QAplY2px4ehtC/jBCf4MRO4cAnKEdZKnhIG+Q+fjRQGBe
GVWDphC9p/kwTa+NGvB4aJuTjNP8B+uR8OV1UD0oABN3g2+wzThVxhMyWHMER9PPIlcgHnITtEQV
qA9bmm8d8nPfUHq2DmDWlQ/gUVS34D6/4QU+9tIsVbmBdt2wolg6cDP7Bgo7iEPq6XUXT+iphMIi
NqX32Fwu+6lBWTLM7ZVU3vgiW+ThSo7syNRK9cVjxYpaoEGPiu0w5FRW1OXsM89a+K4LeT4IBmbC
6o1LHCq1But+6aJTBrS4dBCuae4NRx+ANc9xF8EpsLU2Q0tB9z3HvRGVAu2hcN3T/p9Oi0iB5AXt
sOh7rdV4jvX9GmRfDmo4mYNtPRoXil9TKItNW0UKBK44TMDdHibIjWa+8m7IxDlYxMFf+VtIkfDx
kClhLyawcKyuc69xdBal7TZ5X+pTWOrfGYGVQ10dlCssWcncWUnpFvdOlWGjaafJtmFQKG5ZjJ2m
maFxvjOnnWM334cqDzasNydIEUAfMB3z9kw2GfTT8ioc+B9tpp6LDj+0pl5jaK2saYdlB/22FRUe
rwTRc9nyQx1TQL1oEw7DF6pazu6ZO/rP87m8aXOOJmFasis7d9OX3Rc/XoH8cuGwMTsNqu/FOjXQ
6gnhwc/DVHcZQy01P0Kbb0uj91Cp72N0M3u304o0IjtFvMeT3RasvXuPp0tSaPDq1iBgqjRrNR3K
KnTXbd9Mi6uNzjR/5omVAWhsKcbxwUuIfv23edIf0BREkUNaR6dxSL11WWth4feY64oSxGtbVKN+
QvnA3de1czv/PWgI1iu0ReMPcP0Xoco2h5HJLzzcz9+nzkPyfLIh4/stjJp6YbHBXLcSdzZiF6ha
/hOA+v4uArQYGFYIKmqy8jaqc6gvgyeUomiSF/VgX9DePyfJNj29lUqs2BrXgV2g3a1KFTSkolIt
0sodoYSKcQR5nE2vUEokm6FtHwPRdb3G3UqLp8JDbuSELVQWkX8D9pqDeCj5ZaPytjMKxe/pMMne
W3kDpOSvtgbtdSghmtEiL0wb2+I+Wg1aOIwOyFaDb7VBzrsYQzA4auEw4ab8thlfKeCDueutDehs
8yXZrmsgJwfcU+t58xrkcAsrOLEIr5r6Ut379YACyjbTZEMv83cH3jl+oPTa766L1wF+BpXd4csX
sBswKIESRtOqgdSwOXNWos/as+/aAiRrtT7oADJRAB0S76OJQvVEgJWdeeLva12X/30tVcqXIE6s
vc/EwnOd9oEOiVXa28gKuzddG1mCFIlNgb3rtKRN3+fBfZ8LnaOClswQDfY2NBE9j5G4Qi2+sN6i
PbTj3JfYynyOvl6PZph6fbIpewzuR6xPo66ynuNcPI9p7J3HAa97dcrFjobUuhNM3gFdaO2Jenjy
JIAUtnWgAQUJMNOjl9F+jG351uiD6HCb9kBNNQ6awZYdpPNWVotfDs2guehAfrvUdSl9KQ9J3BOF
WbIU57BBn59ew0Tn1XHAZfJAV7bMsIAeuADIAjj9e5H3UM3N1IFMdKjA6rT1ppSBzBFhyDwCaZEg
znQ6dUgNr97Xo5149cYqe/eGthIpPeLolA7gcAxX0rKsBW1TyEbbEjq72q4zPtloARtVv4Xpl91a
oAEUkCHQgn0gDUOzqLdrzAxKDJpODO2ub4RhpWrWjsNAkdlDXHBjoH9y0+gC6ZRW+QZtBumm1tXU
q1dF7MdoAUGDkl68RJ+St/4Ek6cheSuUHGfvFSZPcHpUacU895NjXkp70wnfZGgbIruFLiJoGj1N
FZi6QguM/n5vOU9hx14hyFTckbOTbAGSPPZY51BmVUxsySxyCPHxAX24I4vdp7E0211hVumKvE7U
GusoSFBH0xcIvfrtAvOSo/fpAigmfrhA7Lf+BlSmQL2izUUeHZEuMUTahYa5A0CfstgyS/u9oQr/
2IUqXrVOHH+v0cgxMfCfQgjO3gysdEFqUaZfRqM5UwAAlB7ILiJ+d50JeUDxvbawCQ5C+yWbcmcD
cRd8rRyw1mdjDn6YGF+7XoNdrgeyFRBeAb1tsb3ag7gZNjWAkshzQRzs01QaGgSm1HPRpwu9qPeF
1UMS48vkdFFTLTqtT0EHt+yQqKLTJgEES+rD1U02NUViNQ1IBJHj8xLzOlWDQjGy0CvOGvd4PQxd
3+77CtCld3sENNKRjyDaW/17ipbDfmo/xJQyHrepDL6T8jC4ktmpMWaV4ll42NVq0GSv8y0FkYXO
SBEaQtHshHebqzmCoCQ47VBk/W3RD+td7b8tGkEQqy/a2PeWDJ1Tek9BGxAn9N3tOKav8xZF2+ns
0/4DjcIvEP0CnlZHAF/GNnEyIlush9dYT69Wi/h13gGRd97P9PWwAsDJPyQ8r5HSKZpLm6GBzzQm
NKPktQce4dp7VC4600FY8w8k7PwvFu6fyOFZ4XFKmubAOICQ0C/iF/zNh4UwpPnTkHek86XnODV7
mxNaRnhso7g5TGkJyfVBLVVeYleMjParxP150YPE5a5pe9B5mBF2XyKfXlsP3A/gi1TLrAWXozeo
coWKSnIH6PG4c31lbJnXlmffCmrsfNCHxQPQLWvyMBUP92PfspdPkyzZGGBbtcuzbMB74Cvm7ewh
UDlUJ/ACif6gxtukTsGf0ma8zZSf/Uh5ik5KvL09gF+zQY8pIoRh8qdm6G8pf/a3iPc1/mMEmtgg
zo4u4JXfpV/AS5HfE9ChW5uobj05qm3QACYeCVBRCtPdj+DYmmEOecUB9YQaxoaPYK/qwLe7rXjR
L0tove8JCZEU8bwozZcrWlQBLUmLEoYCjZ3evGhnQdQ9gWgJoMV4TTG94T4y6+IIbQPsQCBONg/R
Q9+eiTfWggm5EzCsaBPZtalJzOJIS7yvQyYIei69xLDwZwZ9vwvQIxqvQPIRHSeXpXetFtLrhCh+
dHqfLoPgFWLH4SrDRmuOcKTZLwRAOgGQdhu3TdBA9Z5PBR1Ae1dWmQUHZOQU5U+vRgc82JC5NLB1
odko2tQLBs4H/UCO3FU5TkivqTy/yytwiTaa762rkxGAqj8djWtgL6EdETJq84y0D/At1o4oqewj
4+AhPo1IVeVla7aXt/zOwL18M6JATXp3q7BX5jeZPkMpFBxEvTCXcaCmWwv4piMa2EER9hZQ9PG6
yQzg+YzE3yrZbRxTegdXhY63Qrok3RQgUgTKyIpnd2ww7xDj3wP6IehVZmi922UMTez0LwPMes2B
/n/uRjB9XO3gxlnbWSqe/xLvajuLgxLIxhZcZCXoPbK0wa9U5yRpbPpRs0DZ2IGgHXIXQWWNC9vN
JSRja/7covLSSCQhkRy4FU1XLYhlU/kpKK0M8B3S0Hbt/z6ptmyA8wp1QpKqBP2tPhjgqQS8EPoZ
cvrXph0JZMqgCDMA9mRCBx3sxpXl18ekVeos9KEYnXVblWB31yM6APBvxy1eOrUlyDvzrkOtmEag
dAQfB5B9kESODldTMjb5YejNr2Sig9sF5c43mZxntnEjdkXj/IJET3cA9ydkjLox7SEOWnZLEKE7
qDENFfLt2kgeiqSzOZzGdpT/KjLTBF4mHY/YMlnreuqHBWEtrQHdN3gvh4fGFENndABLGngL0uPV
DPrepFtUXfc2oWkhsV1P5l3KPEgZGTLwcE82GP5yXROuVR35qyTl6rHtBfKoTnBmJrBcYqzAHupa
xoGc02CaaKiE0Dp5fd+pbyBaHS7J6+NRc3KV9w2dxerRARf0BXIAZdM03bJsjLt6ALcYRZYOurNr
VZg7Woc1+Om0zqDW5GVtN+wt9LuCDROfCDiO5D5h1Z6WpQggIUHYZ9QPNIoLEFFiy1kfaTXkrDqQ
2NcKNFou9EZt6OE5Vo9t2CTYlxDNrCh4xKCJghLpzYAv8o6DRveErmzcmpuoeqxBjrEwByizlfij
hUj4RJALaldmlIw3XVQAcKFTp9hOW8s4FjVY8TDMWSn4AmiG9ISHEvhaKhvNNobtrRKZWMsszH8L
FB5EAMI635hFDRVgB9U3Q5fgwskZAfcelkE/ylsykdNtQWBjBvawoQhyuB2InGg+2a6LWE4HjG7e
3ZLdbI0BkjTQzEK/vnVsurq4qUR4DifDBvUXUVpFOQORlQWO1ClMfuR4loNcRXtEG+AUWjDpxoV2
8IKM4G5GOJ3OoaCuLNZdh7IU5KlXQfAsSqnurikAZdhoCwhj44YSB+SIW3uEEHbbrHCD5ffkyFiL
mndpPYMgI9t7ZVngxhewrZ13wW0loWuQOzEEFcJpWpqNlzzLwS8X3pSH32q/vh0GJOQX4/RaYcOH
v2op0UHS179SO39yhrR47Qz816J/WX3BfiBfAeLbnru+RELAdqyTL8bpRkVet6/NYIAqL/vjyuVo
f7yyo69siOq2UiXyLGX2iqL9xyv3XfqUVLm5TAq7h/R3sQGJGdi4J9vY2qUyvvEB3/OgSxnIsBt/
DYr/4Iie/36POjpEBYfEvE9BaLb02rp6cdruWYO2Mf8fUBuh0jml3wzLMJ+j3ktXDD/6+ygLjS36
t5N9nCbtaZTJtHaCqXz0RAjCaGFb3yGk8fYxLHwMI4yi7x1HEvDTx1BT8MfHiG2//O1jNHixOXG8
Jy+7Eb/neoB8BYoQ+SOoYMszl7it6JEdmDgAy1d4qrglE9622lXQ8m5LQ5ouJmCVaCj5OE9HX7fX
LvVUNAagxxykyN5kx6ueCwcC8VZ+xlYLwATpXKAn4Fz6SCdhIIJ0IFsTRRr1q7muQHJ8AcIoP7vh
23RIgqGeGDvIJtideeyk/XZo9VkK+Ltr9ECX6pEb9xNyKxlH4lR7QM4D1R7L3JlgqVyRYINtIbuA
Esh0BBssNPXMH2SGuiikYnQU6dRQVDEpdaxq84z3lnAZVxX4MNVgN8deM6jQgcm+x/sxyKBj0D/u
rg5IIyDafI9WY7MuZXgDuc5uyZE/21HxLkvBfQWGCR9kqMBZkxec18GOCn85myDH64Ne1g3D9Qwc
mAYhFmE4+Nsythq+IvF3SxuhqeBvSdidxOLpjLwMLG4Lqb21BHamGyRU10ESdjcJ/siIpVaPlGs+
EoUt+fTo6tOR5nvk7/MgMDxHVrzhaCQDLCwcHLVOJTiU6BVwfhsk4xhX0AnRL4tUKqfDHG1Lji5f
lOavh0AZaq0qvP0Owr1JbIMDpBCrVwC7VlUWpM8qbiq0+sFO3LRpHIDJos5mu680w5gfqldtv8Zb
zP6F17cB9zDkXkbN2E4HmTJ0iwxdjHQbbFdvpONyT04AO9BuschycRtZeHBJOaDTQpd5giCMViPP
2Z6qO155P02qff4UNXiJri3uM+zgzwb+0zruonDhx5698guBAqcWZh14O55rhf9SKmv0DHs2Kq+N
3PDOmW3yC1h21gaeN9BMcbqjkWG/Rko1LLPwOscEmoi0jg1kXwpA00V7IK/MnL0CbcVDFAmb1iBz
D2nRo8ixBi3JkQcDHinNF7koUyhYdeJSqboG/Q6ASjWPxaUEcT/IWvzlNIJ9dlnzHpqGYehtatt9
86bYVtNUMv1tvo4gp4cGu7UDTZqgWTaerPQ/pZ0JzL3Sro/4p7QzZ7npiOZI3klXxsmL6jiCdd38
6qVfEw2Fxz7O/Vsw/dZwV0uPw6GIvXFZuIHxaETqjzM1sjfb8H72Kc5IoOU+ts24bYuUH8Tog3RH
f2mBg3hQ1aguTi/5oepUBlVDfDkb0H1z7F4+2OnLHP4bPyTgAp36cnDNdeV6SBCBxOQwtYIdFJPu
CpLwfEG2q+NvQ+QSWL2geVc3LyZ3JQUUsj85LL1+hifuSvocEl+GJe7okJfZI/pXPSAe/zXRGXjd
giU45bN1SXqZZKySFrQprg8KtN+jYwGwe+Z+v5q5iuLrFXKvfLuC5wC7pVnjgiWLRLamGddg18gv
0ZDvDAMsm+heShZ1PiYbCZVPaMn5bCcns741danWEHlwMDtADHSlF0/a9qENQPHGnRq6rTqCHHlr
7yz0kM2T0F7crVqImylrCm8hRyoXRhZUX2WFcqTDcnHIw756hh7ZbG8UVIogSGSv67Spv1Z4V7Ws
snzgRQi2olwBaaztvZ6ODqjoOr2G5OolcrsniFyUK2jvpZfBRLqFzsg2aJvSNjr7fxNnlEgvFCao
y8dRWMuAT6Db13c0Zzv1Sr7YTKiDMoFZJmua5dZyHHBHqQSHfsW6m0CCHUCExwBB3qZpE2tLQheT
x28dqzQf0nxM7+OW/SQzRfmxb24L21YvOsoMvC3PgYcpDfuCd010Mzu4CaAe71zIVgqxGtHkeOYO
9EkSCDWvPKCutxRBE2yFdKcWgL2QTU/oXbC3znkAn0UxQHzpGqzd4hlw6WYX9g1bC5368mB3pPPR
XmJb9Krj/2Yfpgzqs3W4EKPobtNi8Dcp68t1WYj8C2gM+Q10KYOlCGX+ZRANmpa9yFsYAYbJFCIp
oXWOKNji4PPp8+GWnGmVTA8pSMgivDoN0Nla5VHJHlk3xOfBk8NNn7q+iTScK/cVHpbZYrCicGfz
reW0bf+THEYJuqtDzka5n8Mh2we9GYhQAYxVg4VlqsZbOy67Z7lyR3t4No1WQnBqzKBmgmFUdZph
0oAMrB5ClbSCuAJaWWiYj1Awi5zhgsp0cPY790Rm/HXBUBQB5F6lDZb0oYKWQwjmhryepV5DW8lN
mmF/d33cIjuSqUWMDAm0AD48hulpe334huNaN/V+CCCfIAUWOCfIvMzPaprIkIOOQYZ0tMHujj2k
NWx6XWXLu1E+xFO4kZ2I7sjUmT70jkXzk3xkuk662n6fJMepPljd8JPi/28nxR3QYmB7wEfrWh95
Um+8C5IIUI+qHXj9XTXRwUjwtnkpQlk+Fmn4j6XfumqviRc+XiZPoBPk89D9fUjeazAyVu3pOhxS
dJxZWVSvAmMX2rqzeOT+dI9RRH3G/V9H3CuKxZC59QMgIWzp5IKdfWapDWSlmyOI4Pr90EIsJ/D8
9g75Zb4yAJj4MtUQ0lBl3Xz3a7FrLeBtFyXg3CApgFBozr9DeUe8uMxjyxTltnnJ3tC0j17xtuQw
AbDUDc7bkmgpP0b47sayHV6MkvWgZsSZQg/eAjoHw0vR4pp0NmjbX+NKPoEmNgBh6XKUudiQNliI
tMrJ9UBxUYM4eU3DpmsgFA5FTlIKI82wKmfe6d1O0mIuEhh4GKcJ3gVPfgHZ4AVO7BDPnwWkOuaT
j67/EmMC8LPvp5hvoo53KzF54S4OAvXiQc66G8rqqbXK5JSBIXoxQtfjhcJiKD3uwBEMnU3bW1Ss
D26SlIVbgWbFFRqT7XU8VPi/rrKpW/Eyg+4HjZW0O9CK2PZ6hKgQdEHdac1Nbwss08/QUdGOeOsB
upJ3dPZuv5rIPjnWHE8U92RyNGBkhB1P1WhHdjKR83+0f1of3/EPn+f39elzBoToeF97YM4mQFfb
xjJcqIW/H3oQ2SrW3XVFCt73evBRuiiS7w33wnQNbDvyP00HkhE9YY7hUwKhl8SDKkyCu/SfS10t
78vN0xNQ+rpjDoVwrYZgl47+FrXVMrD8bEM20k7owHx6O2TmgvcMvNh4lHI7snYojZozbmzwM3vh
tH538sAy/yWu+dsDOKnewmYYmQ4LZNmdwBrifkn/DZvk+Mdqv4fR9DKM8F/s4tvPJ2yMocB0JysH
mvS89s5xG9tnoD0H9A/ji16ax0yC2YIiW5vLG9flPrgSGTYlOr6ZYlAdigZctxSjDMddNC3QdAw1
ljlGXwHsy86HK5irOTwbwukI2oh7iqZlxwD3LT4Xh8x23I8eUCt2aOQ3GXQwn8wKJYnQC6MTDUH1
t21yGV8MKNJdcsVXSve4phln6HpqywUNp8niNyBjNmdvNgoAYcaiuCEvLSkguHGioV5SZeDkoyUL
0OtkXSRPThSCFsUIkKwQS0Z5E31omxwwccjBHSmX0kXVBE28ONrQ0ErFcGAmNIv6WhSPEepGFzub
UykU0NSgfL5Ob9vaXAZet7Ykh0phlATnsUarGtNqodXQg3bCkwAadz3YH/6MGHx5aEY86j9FADmF
tLguefxlDQ/799UYc+jD450lZ2sgcZBScbmN46Rp9/vE2BCR/myb/SDVB8l+3YAF1ikMa+vUNqoS
DKym6Aiujx4NUTKZh4SwIUyNGJzZdMXUvE8itA5FvZtoRKHvExnaEY4iQit1wsq7LksPkB/0LoAG
exePsSe0cTUnkMR6kCyv/TXy2+OanNIzgpNCykpqJ5mKIrstvYyBlRaz09hJ1mipbzY03TdbCzvR
5vs8W0+ClMYW8P74nkym3+OlCsTPW/oEY+93BwE94AV5aQ2GGlxhsv5MpqEy0EE0eOkNfQSoa9d7
h7kmACD/fiIw+0D1y3ggizRzqD5N38Mk7neUgGtBkLud6q6aE3hDzOUtHrRnctKXDNVYiL4n4kxf
MJFKtH38Pr3Nq2olXAb65iL1dzGeA8Du+jsZ1Pmjw5LiMcd7Eh/T8S6qOb7jDrOXDhPtDTmBkJ5u
OIgSljThfTruVzlIXJW39t0yueX8QqAJhofQCpDeCew74LtPaxSVm2GMv4MG95vbQd8HRCPBLhdQ
Y/SyzHrFRPLTRFUZ/spJAJopVoaZsJ2jIfiWUasblMUtDb1oz6gLO4uwarKND9aCATJIL10ac7Cd
Zqhg6Mqi1FIu2g5kLftg/z0eNcMTCxrR7dC6PALCmgKpoDN/n3KAlRdXSx6joHF1fEgWNpQJ9Aaw
ahYx7uF9X4JLYwjPUPEKz66FKgtej4NtDxnbMzgCkPN30fo1+MGRIliYWPdj921SjpMss0C4mj78
V+gNbrJ0NDtwo5ekWFqDlnTqBpp9+gp1z5C87aDeHfZoetM7O9yXXMj4RXJHw4aZKwFW2C8xdh54
bfkzjB4VvQMF7SCXfw2r9WoEZH4P0/uYeTWy00WNzm6vF6XVuh6Myn06ADgBYbKtnNL0AF2w7JBb
hr1VQCHciaEEjL20/EsXInVdM6f8ymLxNRZD9atOoHeXeqNY8BEQ6EaUv7qg/qoMUXzN6yKBNE7q
XRTDj7kyRHYHgYq3q9TW+PEqrh0na9TBGtAfv9bcfGONgdL0cABmizhiPpihDTnTyvzNRpM0BYcf
WZDYCPx1htzbBSIx5d5ByQbCPI59IVvUvsjB7h8GC4+DwIHscDOBC+saD+krQBpbE2+pjdWc58Nz
LyeIlpb2vaNGd8/1y6oL7MbGSlWCMvbU3qHYPgLt+rtxFo8nI9eRydrej63v/yxT82iC5eR64rnW
bAn+PfktpkwC9RTL+pXekeltmV6UVQ+x+TY0d2QfAv9OcB/Yh2z62kWQHbimdykNrO02g9i57UYb
6jxQw1MVQakCUhHWKkadEZJzyXTLw9ZcUoATPKWytpeiQLN600bZsp3MaDPFjn1rAHE7H6yAiWPQ
2us+D5HeIgeFDJBbWhb4kW3I1qP/b2U6cQRhuq696wfQhUgnHTdl0eLvV5cGEpCt2uOlUb2APdeD
RKVj7Ds9ZGxTB6P3XIGW5uD4UO8TWjvayidv2bWg8J88owATVvWrUtx41Sd+Wr2dWODHTVsIgjgW
qouFlVlPtS/lSnStfTdY0BZImzjfo2AARodwCtYVgypCYoXFMqtAvhPZU4NvIM46H2hvAHkwNi0U
/ZLRtNb/OYYC6ZAkYDsROvq6GJ2J/FtRyADbLX6kLWdfiumeGdORZMjShKl77aMdJvkahm+L3py+
+/7bPPChgOV+tF8byDIsQHwkLoKH/kb5wNgMoDE8sSSI113dWk+l0X3LyzH8xWLw4OGt7gfonvli
1JMM9u8kgG/HExp6EjBrGubTNI7zJMiqzpOaEgktwE2MsE8Pce0Yy2wakiVyTukhCkeQtJNHhol6
OyXXlJpIoDj5tOcjCmiFbqssDTSCxxaE16EFFh+DEAwaRt42D4adVMuyasWryoc7z0Gv16IfvvWt
L3+hZeof4Tv+k5dx8DD7o32XemYK3adW7PGXrU6p4mzd2r53YUn7HIfRdtL1IzoMpQqArRHoG6dx
xlEuTp1xb1EF6kPMu1v4Qu1pJE0ozksVTFuCBJUjdMr7Bhm9GSGk4UOgZPm7rXXBQEGi1BRMceP7
XEId0XoU9x/XA7dXdPJTeQT/BtpTTM9YXTMsvW0+giUdmBudpClsgALL/8Paly1ZqitLfhFmjBK8
rnnOubKyXrAadjGLUQj4+nYFuZM8der2tTbrFwyFQmKtzAVIER7uHgNVmUZH6wMNCqHttF1sUxrc
LONbjW33KfGDCrtk0xjwN4w2c3NQBbsbVZGicjcJEC4AcVKiD9QBJrtw5Xgi3n/yxmp504x5f12c
Pa6JvbPq6ZMbhNyT7eAVDbjAX0EQE1zbsvKcVYd4wDFwwtfKtsPb2GLfsgH8fscckI/NLqi5mlZp
Ehp4uozFBngiiBosz6fBziuQWW/pwdSR3R2lexN5V2yUdqaeMEcGbmW2AAim7ez8x8OPZi9sxwLZ
IsrSNdsh0/SIkS1Ql0mnJhEfLl1kVFbqAtUHbIYeQhp4n/zi3irjDTl6iYXyIKfiztF21WybZ3DG
6tBAps2NV0VVQG7Cstz7JJvqg5d0+VE43ng3QQgSGnFp/TZA7pEbkfGPr+oDK23+rePFsKZBBUvr
g8otMI8EcrxzMOU8qDDZlZ4IrugOiBGxeVAIXNt9kI5bGwp9q0JXKjBdqUCHaqjXCFoFV8dVFnA1
emsPro0Y9FcoPQAh47sfdk1gLmmrGnhzhHxWH4PNMlF76KNB3hjpnDtghoe7IlP11WZQqG/tgkF8
BzwqZtKMpzIwH6jFtInOwFuSHyTT5Ql6KE1CHcKIsp1ZAX7Hw0a8zxLkebexJSKpieWHyVa42GgO
mQ1CwuVSyC3h0wBBc6DZhjE9hGna3lqQKmx9XyVbuqNKfVuZiXiCkpt9oVYTBt1V1BK8f+ijQ1Cb
asuAuNimZfBuQ+XqQ1ga/nwvoqpWXKvJuSN/uhVBHt9uo1jV22UiFbb3DmSLrzQPgsOg3xh5iiAT
KFUqzX9lZcnvVqX83ush3t2GYK0ne8s8vrYayz43kRhe7DTed6NvveXKgpK1aMY9uWVIoecWNvbN
1Nun/2nayTaqFVOg4aJpi1CJk0OwwMaQzgFVg+G28KZuRyxk1EwRW//UjHWTKMvMpg63S2+oEJQw
xe8Ir4WXHppCpzbDt6SmGyNaXjIfhQi6N/U0R2RcAZeom2YK7GGrafqpiZRBcs2qLpub0ajMa1QZ
/8wzIeNxSyPxnVpR63m3vjO/8GmaXjrRdncGdMSoL7ac+L7Jgxv1DUAu3jejA84AXBGMGvUDFliH
EAQrL4kxGcAUjTvqK3rbemQgDKRx0pPN09gla+qrpih5ZsXvCr+8vUqBdZeh6J9UITLQcuX9mWly
J8CGnUNquxW0dMAXNbugmqZ2PO+BWqnIbWAAE2tHzd4aypvIghu1aJDAAn2FAEF/piZNyX35wLP0
edS0J3nfZI+GjtqKKnb3WGD0kLuJq+OA2v0buSApE9+gQXFcBnRFa+5RCAAEhZ6EDrJI2nmSqKj7
owPo8goMEwFS2RVbpXUANHPlusbKNrwYIlttsHHlFN5XeRneo1oyPySQN1qZ5FPbKLMTlbxRLx3I
eTyJIGL3s1PW4OHS4Dcwz5sFYEoyvSw6LIOWawl9GSsFhW2QCW+DgitgSILItM8e/jgfa4FCJUBr
U/vT239IxnwrOYLgVWfuU5n3B4Zqoaco9n7F6VT8FGaAzAEvXwrQpf3NIWv4SzCW1eyAF29/qEZs
uvQMOTZLjxw8MquEQdNeWFF15bnhvNrtbgqL5LWqh/o2JBFw2toshYr3GYDjOySjnNdl0HsTq/UU
kaxpKs/zm3GwA9wjSVyivA/ySJ8OMgTgLe5HqPyio9HvVjqDzDu/YcOTOEOwIUtg21jnZGW5D3MB
NTzPDSDrmrdbr7XTl7bAUjDpou5XiViVYbvu7xZprIqP6ZvXIaiRA5+NnbbE9hDL75NVNSi208ND
iN3MwyffbF6Q8ui3aY7VfqOxEEzjI9rGxeuSyxu1uAk2hanL2rU1WsB36F7pq/feKEK5fO2VQEzp
oR/jA38QOzMAg2kCCmvEAlAI3+saldwBrQpukCfk7X1wRWEv0HPb/CbVM/WH4Hbb2E4wnWlgrgd2
VNwyDc91nownrssq6s4XN0+fUTNiIe7TsL9YE7S2wcIBfsa6VBdyI4/JiMp9J0EWewT4SK59r6iR
8RyNuTYgzNNylVimurd6v7oB+2IAzYrUKVNVid9npcVJ/x3hRFnwAEJAcJjn7k/e+u2ZXk6ySYIb
ZND2XYw3/bqxo34HJr1msyz19ACm8u5MJgWavp3pOwBJIzzapmz4FubVEcQ7xj+WZ10gXDq9tWAW
WHPU+9+BN8s4eNLsDygvBWpTD+Ie6hZTsz5OQ1zeTaErVtko4muuK06zBPBoBUmgufVh91pPtJtC
FSfhgEtxIZkBLBS6PobkYFc1xYk6cvy8tmXuIsdvh1ByleZ4rcGQ9ip/V8qSr5E9RODIBStaUAfO
awv+r11qqWFHTmBtfR9js9p9tX66UX5QtUgeZO3ET3bhABifm6CvatLkKW/L5oInzht1TnFcXUFR
fRUDyy/OmOUbKONCYFE3A4k34IpO6RAaKR5humccMvRwCHdqoR62JWPv/QAkLn9wR17fcuBHV10f
mF/jZjA2ZW2LIzUzZCygjqleMktvwYCzXcVghvkapvUAbIXpH3nsp2dUnbI1lkMrmbXtl6mI4qtp
jAEIdAEDgJBstzFKPzqVuqndWu1mRnV8RbwSmmhRg2QYUFgbUNnEJ2p+uFl6NoDFwI1GoIKp+YHK
DjBsVeX3gCGmriPmqdkoIK2kfxsCUV5QEcc2Hx5ISaAEIFVqzbRH2IFSnjygSVR+j+r3OcjDgOIc
uIjAkYwHkvnYIZm2nWrUgAxlbT2ilN56zNtg1yBKeUceRZI6QBwEwwrRKfDs8pRNKzxtxiM5uw4K
s9uxAeYKQ2lEo+dEOLLZuqWainXFjN3Qe282NLWOGeiYVp1mhvGmsDpTEyI1zosn2/dmNIzJLkGp
8maoW3aoBATDaK/O8K0PbamSDW3kqZeatFtfnN1OhWcEddIVZbU6twNVcCr6XdL4BkDKhTy1ruOf
TaC25uxYFoKSa0CGlQaQnVJnzTgk+xEYoHmmZcCfcyJSBFXCTRZj2WPnALrFRZ/dBxneaMPEH+pQ
wAQMwXmw/W+LqU8ZJBHcQq2jLpfpmsdFu0mNLtvN7SqaNGd54hznthXi5VuX4kZTlAXL7sdBYn+o
BwNvN8+fo8QWJHXDKU/ORaSyC1Y774fJTwH2+bMdlxWY15sz2WlEFwYOaFRNoppxblyDzac+hGAw
Ry2lExr2imye7sC/v1wLgKK2Cw0InSGMjjQqkHZxUjxN3ug9Dy1gMmNyJ0E590wWx5iOoI+Q9602
9Y5Zr9JK8jN5CGQkNk0LJbTGaBhWVCiVbGtwSNHQGFKyJxRjBStqoiTWuv0vV+JOLe8TQFwaZOED
mXuolJ7q4tzpQzI4aMsxLoAZmooznVF36coB5MTOAN7GjzERuVM/eVZTBT6fP0+p32j6egsprWTv
5lG2Id3wY6Grwyr8TjZ2Y6qrBAD/6uV5tslN2zkPrPynDTN5sZR8P0SpKy9kYz749Tw3P1PnpD0k
2BoQR/twoZ4BFXSgdAavWmE8LGmqqefx2Rzrt/ajstxFmoFMlKaig9GBolJ7UYtcaeAUd/PAOaP1
71zL9P85F9k/rrjMZf97RZrZFsI5oxYbj088jOoMlbeE4PU/mtju2C9ph8fK0ovlxOcm9SIhHud2
c3U9Q10Huw2PeLWdOjsFYods86kPgMoxtawT2eggWIV6Zn1AmQFISl/jDjsI8Ha1fHwxAL/3U+O1
6uryh3D8Vx8/hB+ggp5PgCedT/6jywwH/gVSGSfdLfTI/2WK/+8+kABDlRf4u7ee9LxLPTB3RUQP
RZzHuwY6tTM7hMOh7FJVpnfr8JW/2P5zMtnO698Ghb7dzOwQ/z1oSCvnNXLc5KIEii9lYQz3dOgS
nkMrc71YJgTi7lmiF+RZrEVfTc1mKSprbyXYozJljZ+G5nJthHUZzlP2Frg6zEEHJfQVdEzvvg5j
a5+FIIIlm4sM5arpuAA1qKi2PWrqjyFv8y+jMe1FbQPUqu2mkwWLXUXlu52Dse1YA1/3xSuxh/yw
L/7/aS9r1K9R9mpOfOnsFSgvock8zsmyGrS1Fxk0z0v+LO/tet97/rBe8mcKKUxEYRN/tyTFpBu9
5ZE7nMk02+N1GaKijHJukxFml9ipnpdLSzxw9nUdj+tlmibsP09NHaOVz1PTRCaonO8ls9eThQrB
lk0IDOaApNzyirG10bQF6gCG8Db34Ak1HlHX8lJoG/k1dggFRSBI9jTDPJYm+JhFgd0HBU160o8D
lqfzTItpmbNOsj3eN/xMncCBPaZeLi89yvg3Q8Gx4tYLmXnlgRdfNbpIzWqTD57pQ5mPoOrSTVqu
eCJCrk2F2ZlszAfBAUDhd9Q5u+l5GVLhu8Um7N/LtMbof56WBgUGglmpajPso7AMoml7MFpTJx26
j2nDFluFscKqaugM71h1WNnResaPgIOgJq1nqMn8XqEQCamJpUm9qGXD/ZJd/Ai7nh4VxPtwmL4H
HbZEETf7CwjFscajNtdGOqNDEgpIxGbNnoaGYFnHa0MPofYyQ1iC4N/pm8c/7PPMny4y5kGy4r5Q
O4Q4+uPAoyfb7c1vHEKsQeglPwuZ9utmSP0bJIC7C2g8UE44lsF3q76SgwdV4nXJwSlfD1V1FdAR
2VAH2zvQmPoBZed6w2qVXIM4Km7xBOwBUlvJT2Y/95U1fXdQlL6Bjq3Qy+ZwjxQxYg8thDvxzh2/
FabbrpLMie6FYO6NOrAFQG2F7jBQYjd3VAb4l0MbdRRDfeJWDGpFT0OghlY9kk11HlB2Yz8+1ogM
7pzIUHdhHtt3VmM+tHpRmyKVRC3VGfHOAGM+FIEh8hhxbp8QVTlSUctS6EJNqDt7J5Cfz53kT3Y6
jEgtnbyEHf6062nBDm2cSqs7fPLXdrpANhnxGQU5c+cfw1G9i/yxqeaPt9TbkBsgkeI8Vfl+mdYG
pv6a+mpdG+1wZQwJnQGY/Ls+xOsahWbJY5sFgP2WUGwYmkCsLdeqXnnboIxPNfk33wcKQCnxM8hA
niSY/C1dscmygkM/9BHJoBS7lLxdV4ET/kbqDDDuPPsxJL9Qo1e/uFKO2xiPxkttivJsIbu6m3wX
i0qQD6yiwu9+Ona0Nqa8+A0O7i/SG93XwBgQ3Efk/cYM0zxCFdXYc+zJHlLh92vVmda30e2Piln5
b5NPJzkG9TeANiHQBfZDLttVrPrpybRFug/dOjvVvM3uXD+ONlbQq29A0u/HKsv/Mcf4q8zT8Uuv
hhG7T0tcAku6F9zZ5Zb3vHzlEuFA7ep00zHhfnyum8RbV1EqQYHttefEt6anrrWewNPhfYNGM9Sc
Qre7QD+segRN2w+y48sgKtPX6ipAW/fQtDGA1Im/MQIU14EAM7oZhUiutRVjs+84/Y/G27I0ET8B
roFMlnawWzbuUUMZb1M7E/cofhH3ZYgCLwQcKsTrveLegvaav6oKfOIpvyMTargMZKZV4MSrwSgP
kdGlO6VBH/hXGw+2nycrhI3VydHvvbkjRLXAFJb31IpZWF4LO74ug/ISb/0xTkDi+TGRQMJ4g5sp
3RkEEcGC+n1i8uGx1a4Kv/lJZG+T5uOsMjmeu2IlPE35NhO/zUfyocOndjVE07kF1lVa/gkSNiuP
gcWjzJ3bjFmYII2B4EC6I4xDJOz2igKNL9RJJhZbV9vp3/1bINyRJou8s9H43proKNyy+VomrvVo
I2h2+Yu9r8Vne2p3X728ffevAQBaE3sFfjdfgzC1H4cI1VRzJEuEffvO74okyIUzcIMSJoFK1Qrw
L3RNB+6J0L3HH6Z86SHJdOhQwr3rRsf6OuHBG0ke/8ArDPQpbWZcRulNd1Cp9kGUgYJkPRI53fJl
0CPbEoGhiFXzSHLwQhSB0UgHiIo7mUJ0nP87kq5pckAUaaQX++bXFuAjcsBKD7UX0baIGvcRCPF0
h39GcFFZAr5hiFcfnNapkBeIHaiFSxN61A7oVR07+wnpot1Y8SlCTWK8BUeX9TN1UVkIxGz6xZtM
tQlsZd+VKjL2/dR3J1Z34wV5doiP87J+rPGYR3leL96wjHgOM4B7V/HjJBswhlW80qoi7ltrmGL9
t882See/PltUmZ8+W2IYENnVtV9UuhUPbbFunbg7zcVZugnUfHeisq/WNh5RR9IeK5VlaoXIKijk
KFznN7zeOgkYA2YjQ9p26w+xsUIaW2DX2vHdADGzdTyE+KuTsS0TvKMj7zJpFa9BH4Q0+a6NIHbO
q2HvDFycDEBCrorJ4UpndJBpCYaykLHN0lHX4Y+kNcNV0fBh56SRc/R5FT/6oy5pG0H1C+TJBSWe
1St5jK5jI7/pvKD6R62hxx6dBjxKnCWt/ynGP5+S0wQnSgHwNPF2aoix7Qcb3Yjgrsd91KCE+bbW
sOLWabuV1QEZ2AMW9Mw8QKTdbPpKbqEJmlOvqhCB67HXSJKuu3XarY9Qy6eH/81twJ2/F4AiQsaK
y5emKPYo5UZeD3fezvbiaV/opsqrdQrdkNdM1OYpsxlkx43JfDO94Z8xDfx7JJqHO7Bpo2Jd+ztW
wNat5Mhc6WkLKfbkP6b8fdoScePDVKCyHdTaYNjd+cCMrZFdTI60taVmZabpcd746l5UbCSfmohl
Jse0NpGJrlFd6hNwNUq8fmVZvbcNRGBePEK74iXRsx3KM+7frwh1mnPUIU6TT3Z3QZEJ6CUKEFVf
INAZ2ruoQlF5yQe1o346GDz5nrLK3g/ClqhhwSERUX8t27pEKX/ugUHGZ8OKjEnZvvs4TMp11bbI
/mpv6pA8GsB/CaWFrELyFlrr8ipVCDAh9KXWXQmJRpUBzY/UPU6x8up2YHzrVj5Ck8OKjI3uoTMf
SJljWfO7xV5ZNqg/5l7pbKwKQMMBKwMPr/FzSzcabqH42mUu7jk6jf2nyslTKJwhbk4H5KhyhZDu
v+0O/EICvP5k+TSS2lOWWNAsX9NcyxgICSEUrw92wZ2tO+Qsv4EerNuZ4AK/VVboXE35Ymm4Fx3I
TGdTrJw1S0exTbBS4diDhP5lioo1uWRkGwPRQL8ndrfLDE1ivmB3EoOmz5diZUCV7BToA51FmdcJ
MCkwGLGfC7Zk7abGBXxXe3nchdJ5Ox7Ih0yuV/47mqZc2uRDzbIsPHe99DCLlxuLQVCyUUgYKZG8
H1JEIxvUy6OdD34NwqHon9mWUw+5ew0vd31h/KYI5KcgZZYkUPmJQZ7eAc1+wd7xczTzj+AmDfa9
6MVIjC9AQTtX2wA/oHLiEUrxY3qtx1yAe0kaDyhCs9d1F9uI8eTRCoyR4tcQZVuAFAWwHwmEa7ww
/kem9Y8yYt3XZkTe3mCx+YgFjw/uydbE/7HMjnhp9WDBaVDNz7Mtw8sV94Mn8LdI1XiZTw1HGier
wZpKZDUqiXQPHZgCMmsELd6A3WCX2CjaAx3GG4CXDxDrbJ78qQouKBZs1mQ3JMgXyyau77LQme4D
b8D6RQ+IwRWAjFHpnV3UFz/7JeR0lSleonJqVgMY+S50GJVRXEx9WGzUlEq2ay+3d+UEQLgS7bVl
UfkSAAX72Prh2rSbGLiWTcNE/uINXfmCyCvgjZV8JMeozG9ASfl31GrS5tcg6nGeBHp1oFXNY9yH
es5Sb2jxIFJHauaTN22ABXL31Oz8CulBBLh31ByTsMVurPE3jr4ouEKTI7Ibzpp6kYk3TnUJegvq
9VmfXLsOK1TqNQe7uUPI4IE6sXRNVpU3mofCMJwJbMtZg4KM5tRhcYBQUpGFV/y2wiudGar6Cr5s
dbCt0ptWdh32CMCPYIK3CmwMCygz6zM6RFAFOIUJDkvzb37LMBpBLjRsaf6/T7Vc8o+p/vgEyzX+
8KMO3ip57K2nMIbIsgGVkHJFp8sBxB/epnSqYQWhhPy8dPAElPR1Wfw7hNpLt69nXJp09ucF8g4Z
SYuD5fD/Pk1cf3wwugp9ktm4XJWMrKndcsVc62GSCfZu+kMsQ6g5u9ApDamq9BXKm/XRcJLyvoM0
pIdU0EVoxk46VKMHFIgRVuvRdt5tis7SbGdA1Og66jsA2GjZ7hqZoVbiYyyNKFOg5QZuXxf7ZKJ2
e8rxJKKrLh0j6HUUU9lN+DFW5jLu2TarkmA9X/FjYkSpULgNDm9F186lwC65ttLNPBUNjuVbzlV8
N0+VS6vaxolRzy6BEdwckBDtwTAhT0ya8jSf8bx/P/uLjVwG3+U5bmyMo4P4OFtsTE+zzEodi60G
S+g6dXHHg94teKx6Dm6qGEzq1Ay9LHiUNiS0VWbfxdqjhrzaIe68fk2dtesHjyXiLUWtzOs8SEko
BaKIB5EvQESFbMWd7zg30KTUv6rJuxnMrH65kt9ijhMBix+m7YUnObiZAjM88mZ4IUA6wdAjjUVH
JGC2LybyIHtRT3eoMl+ZIzYEuZfeg0DPfUiTlN/wQNpSiw7GBDbn3Ol+9WOUIdPXAZFXBXW79lkI
FgNeROcmd/V+vmZv3cdZllrvNjrrc5e9xfGYr8yy4G9zb7Q3reApkzJ78DwvewDvNbu03XQmE8Qh
socOQPy7EM8yqOYN0Zrc+v4hBhnTPXnRoWvaQ+aU6kqtIUmzh0aUryUXYNLQM5NpaMFZwQw7Oi62
vnSatZ+a2Z5cqCOXBYouShTxkI3mjGvIiUadm22Wq0ZcOvtsAAP1Ml/k5PaRWwPwWpaPD5yWk392
WfdAw+grARdRQ+a0+jS7VYOGN50/wvIVMuwoFdi/botJhM39EPD4snwyycNkZYEmETWp+IORb8ua
cGUYjH/6VrUdAkZqg66KXOgQTOAAaa3Wmr8VTcr7AKJ7RSHXy2XNTvgHowZuffmmfdMbJ9NXX5c/
HAKk4P2X+XH5dIPwgrsyeqO55v9hMFQ66jrezc2pck9g2FC6mEYduQ2RBKMshu9p2z3beZE9p5Bs
PHHTBEJX26Fn5xhld5uwDgf40293HaiMjn5RuS8SRHfkZDLbWnfMbK6J4xkbwyuLlYQA31M/WF9U
N4qr0i1WBdMOWBEwJ9eB9dSwobn3QXrV+Zn1RKbeArVXVETJmWxDH1WHIinN9TzAs6OnwdqFUlpg
4gRED+vqPj3S5ODEzU6IilgratKAAD8Wg1nDA5n6CaHEfOibPU2OapPikjriH+qkj2sk1hkp3Ohu
vnrnKKDNEralyXyeqZvpVjfyp0OQpt/LjFsXag1YHu5DbvegE8EXmowhegBSZUOdZCohkblym3A4
UTObKufAEwTryIU+gkJlnDk9kcHg0HgJ6sk80AcArYd5iuSArST2VCp5NROnf5hcLu+rSf0KVRB8
hbT7uIUi4HiIBjRjaWxAugWMZhoEl6opoMCHCuqv4Cl0QYlbdOeqTwBdsx9mcw8FPlnX4AtBjGb9
vuMGhdphxukt2PwMqY9zL6rVJ6Cek7YQE7ecRwMfu4rCV8pfR6b4IVtZPldIsh1kC4kfRGmDZ+1A
qW2sAX+47TcDQc4fqQcAZKbc35mT33X5aL/JtBuhB2qLB+Yk/d6v7eEU1ixDnCIzwRroDs/ZCGVc
AYHOn3o4NErd3wmG8wLBYPxEw13o5Php5CZKEnQdeeIbYLawMhSf5fHwBRoV4HKGfXFTuvo8DzjS
iAiozW4MtffkhuqI99lG7bbMlqQ/QyI6gOTxCJpvlHcYq2L8VfAY6NLAfoXscA1QolUc2qHLvtS9
e+GVFf9APU++rgCPvklum9fSGpFac8bkx8dIlUOMgkaWLAJs23HMjZGmSBBFIv9CZyJi2Xym/mL7
m19kWiaem1X+Kc9mMGc8gxns8CmrN+fYvPHJ8CZ2pPTa3MuRJdt6Ro0yk48cHTnTLHndHsg+pPlK
TEjs3qq+qvYM9AOvdlHNfFYs961t5vjNESgkiPPm5cxnhbU07GkHAm07ML5ofx9xMlSpAabgkYC4
XSl7q7Hz65gF4MGu4+x/aKt1KldhIsNzkEF2BFCZrLwVk4eEi6U21IE8YXlLoCHobNJp2ABDFZ4X
t3D04t0Y5Xw9uKjmVABqnGXR98+xssUWLGXDbm5OIGJzWYOPZPP+WSprAoFrfqFOOigOwjAUdT1Q
i2YbMut9NtdS77NFjhHteik6RLx8O1sRZxbkhy7Kt5obtVozbw9pUDRratIBQV4Qc0btza0DADa1
RwsCsbWrpUTI9pc5Zg894D/n+NtVnBrar1UP7sl4dKsnI7POxM0QQp30kKHWajvomwIafYmORau7
GqLdT66azibEX7d4OPJz3EbxuvMn99JmpfPFBF36TFsnRXkCC2W1iYCa+0puYV67F8uM9r5d9iiq
Zz/ojmlbCFfUiFk8dKbZnbuo9zdmlCU/ZHEtayf41megXZ26KTmZRS6e9EDqb7ISGjo24EJOkrFj
lmMe1trsV4SATxx36geypWrdu0F8n/mWBTHXCSyjTjlBRDl79/WgyCIhxyg2FpKnPRh6wf3hmpuB
zhxsVZWQPsIFOJt79ZkTf/e6ASruPsqE9AGkmDLatwD07r3ORVJW4knUYRkBfn8+7QM8Zx5qjtS6
5kub/xlxN25ahqAr/S/zuE8foCynNbjuvcD0vuXg2oWYovpmT4O5llmqoKUXqUPHeuNgItN5p1AS
vkZebnqrh+FCHNqBAHtnUqpvZp1DDhL1F4ZKi2eB0nuUbuMsairIhuKR/Gyk8t229NKZMM12q0QD
ZiAXD0qUaBQn+sghy/MLq5vv8yfWX4VVIPsijyKWBygWpC9BUV3K0gieUxA+nfBE0XehGr9pe27i
bWHHsXtiHFQp/2mfkMhYlVZbH/D4G65Y8A/XyWMK+tBuuc/sKlnV5gARAurhcTKtutqL96UaoWtm
QAfBD3RQSzcXG8/y8QBsW/PQ60MLYn1kL2CjJnUstrLl7a4O7X5NKDfCu2EP/MBdFh4J37bYDZ5O
exPY4VVONK2LslXgNA/IrbVbIfH0iAzLvhOZZ2wTfRax8f2MbH/rBbAU9DnASu5T/HpOPlIHu3bi
1UvTiF8Oooy/krrdIRCnvllFmG2Anxpv0vcR2bPKdidyzta2mIxV6BfWxSdGBAoUU9tDRA7rnOhE
JjpwHUWmM6QpoOVaTRCiBXh1l3KJamVdcEcgLrKBAAD6Nw67IpBT3gL9+BXSfrOhLHdIXQ+P5MoY
sqNrGnhL1Bk00Ps2ciGmY6W/QtwVvs2871UQpxvL84pbkJn+OZ7KdjtIIVHrjXpxqHn+ctvi91j2
3bMfJ90+DMviGBUelNL0ZOQxOVBcT1rvO0L76Sbkk9hw0x8PoBAkjDodAiHqbcg9e0tNheK9R/bu
4DrenhUF4OJj9zSJEKX9WVIckdNAgSEUHh6gDPJuq/nVCNOjiNn2b5oVoYNXre6cdCqei9jcALKo
jCdE1/BXUElUbaj2P0Pq6oBcr41XGFSeQKTYPMQIxsw2alIH0O3dwVkbHAQIvdvbLygD70+uXWlu
ah/hwwbSEEuTgUARf1fnmjoRENI+C9aZZhiHVOsX1jbRE/e6/NKPWbgmRm/2r12WTn4pHS3PhAj8
Fly+OUQJqxVuW+sH+DYkMP92fs8lG8H1gn9E7iX9k+k3IBzSj9oxfvftYzAaO7aMH2ML5NUyRCIL
e8Ppm2tCmWeQ4yvkYt7tBMQAR+ZsJ/9JpOE2MibUGHRddnBVEu+Q5EBez5/wXESuHOw2KArJ8vxg
ZUX3lTziLnH3KcT5VlhsFeuZer4zzGH/1zYRzyNfhioZzw8ONgM1XMxaqJ/Rn1Q2n5vUi4i/OtLf
v07Uf/X+MXZx7vVUtW/I/RRNJzUi6Qop9Po8IAKwE43lPAlAwiBzLKZfZXhXDSr8x5nq347n+y8y
t7CzjIbwAhR4M4+RRWVsxYhKJbrfzNFt9qkRl4g96TWQ1AsepQ95MDlr0/y+1EwvddUVyCSORQ1x
HxeV14oVLQSKR/leib34QZMBa/O+eHHN1sTvVDXgpimcXe4BXJxkdXVFEbzYAvZUf2m49ZNKGw32
E4+t7NcyxkymeGOE3ptk+GdS1RoQxvVuaQbtUO8gjxzvch5FF29E6ZU3vBL6vSx7SNPF4XjzXV9d
bImNTFKH1vc2mx2c4ckcrBWyBTUQIrglSqwwERZ2qwvJ0BS66ekm9To9ajupF3tF+4V6/zY2YzEy
F4UAgaohblgmYF0JAVq7HvxzLU0sNbVdNQyEAWP3Vku/dH7LjPuP0KPdgOE2Kh7iSBcwyOQCpm7P
/SlQQ7wBrYZ7Z1RQ/RsNnr1EedlsoSQ1XVHylZ9YlbH9VJXOvZNW3rr3WPzW2+KxyEv3Nwr7gW8M
5K+4/nc4jyXgG31mg8gf7wrwIwQIxQTFxev6EOiB4Qvd/mS3XcH2vGpm9aFgtIt71HafhYAw0iJI
VFRxt/dkDDLcCYJES8f/Ye68diQ3ti79KoKuh+enCbrBrwNM+mSWr2pTfUNUG9F7z6efj5EtZXVJ
6jODuZlGIxCOkZmsYDBi773W0kqB4IdyB4MNTFQlUfsYV1aVGQ0nWWyn4ntRQg95O7xunX4sytZY
BR72j9cWMzE6VZ5toLa9Mhs7P7rLBotoRBTZnCoLr2VZJksXv5jzY5zY0ZXG5lPyGcTd8M03i/DO
GkbxoM7JjSRDMPLB2BM2Gu9krymbv4HSC+7Y2557yWp9Mug1pvRadq5/jgV/xblX3pTWrnMaY4uF
kgDhsVY/RAbccDzX/n0eNvBxs/hfg5HBB+X3IUaXwbieCRVHHLExHtqiadeFlo8fY9d46V07+aZX
LZcvfigzrTgqqclXy0VodQxMFUG2gGc6aOBGGSbcJL0WXfua8pIqvjhvKPtEy66KOHyR2zR5QHBA
ua4co088uVlzBXMQMHy5lWxekterG/30Wql5VSzMX7K+HTugHUu9GJz1pausR6Yz5cXgVisIe+c9
oJnsg428eK454efMBwZtw8V2E6fhcOMAoCbUoA0/x0gDmCrcG7od+fsfr0y0aL7LM+NDzs7mGgqm
/Jpdb37NCSQ+mKPy3jGi6GTE0S7Qs+oxTeP+zkpsAloGlEFHbC7r2lfVg2xVerO9CgLn07lVnayv
DeCPE5sjTi2WUJC8xEIm+8oE4rqdOeTKrSxFlWttfv3lv/7931/G/xl8K+4IIw2K/Je8y+6KKG+b
33611F9/Kc/Vx6+//Spcx3BMU8BhYbqwj1iWQ/uXlwec4PTW/kfYwjeGGpH+KJqieWz1DQIE2dc4
9wOwaUGF6dYVB8NdWBVA0j+0yQQMt+vsr7jOcZ/nX3plcz7HBkOYnECs7BO5wxpMsz8QamamN9Yc
ZntH8sohlypW4VRF+7PKYBK1P5TBEd+EBMJcthlxYsYbvDEZAiEwE8kkSPzXdbJzlaUblTnuIU9M
9OySmHk2XhtLMsZtvStY9GBk+qM1rbuPkOlnB7NX2bGbmVUTj+T05y7yWtlZDoCagrr6+a0X+l9v
vWUJi5llmvigLfHjrYcer1CGxrYe2yGaDjiBA6KmtHmbCaV6rhOcJst2YpjBQVeOqO9kDwvME1Bt
lTCxv+9V577iZaHzapxBXWg2jLFDrFjxTLMJn9Oo1jexkQzXNpKYp6qEJ2PCN/V+hvSZ22t9XbrC
P02M99JV9VEaCdLpSj5mWj3ddmFseELorLlAGuz/MC9d4+3NESpWX+6OIDTEMi3zx5szOEnlEDqf
P5436VZpgssvxHs8FMU9irL9PVD9d3I5jJpc2cklTxaXXoRr5fdTiVaxHrov2IC7rWVmOaxpLExh
3iDWYJrtR72rr+1lj8hL8SGP1eKDqZRIBpUDXadCnBr7LlSK+o5A+x0Oe/OxWNj0K7htoTtI/JOs
gzIs2bcl/I+yVV5QR+POXHj5sZqhWltHAtyeka0xTsXH2c5h7fdzII+jD2eGMST1uvFBEYbtI9r1
5uObvkK7ayz96KDc8WZrLxXm9M50vaVRys/NfQA6acDowfZXvdJE9K0e3OypXRIshWVtxhCAUcgi
q1/1QA+9zC3zJ73T6p2izcVWtsqrhyE9X11A3nt7tjeKUle3umiTV+TyfWsvq7LW7mRDpavhf5gR
wv1hRpiq6mj8N1HMtoEh28byOL1aqVhZ9AkqmeDR5BWFfJw63gwa9MoSZxhV7zW30V/kJkwo/XgV
mP54o4QuWzSlRgoyTq6lBOxZJVaKx57lYWW2dsuyXLWL2ltEECDaO1WMuExSneRFskEW/7HuPFig
Jv6+aRyibCbDSQ/2MGsnVTjaSebEmBjVKo8moq1wFKkH4cTHS/Nf+pwrRN3t/8Pa8+Oyv9xMCKAs
oVqOq0NE51o/3swkrFUtzVT/wR6bCVds5q408At3eqS4BH1n2rZP3fy5UM2t3OvKHnUdgtIbxADD
LcSzuBFLB+xxXx4a/AzLOlsvq+urBJDRdd8h3kYHWY3GB0YnLcScFsz5uk406F11NbvX3CRaSWOL
bFAz5XsD3pkIKwG07oro8nVclnDZ+G56bxHn8vO74tp/mWKGsFXT1nQod1VhvLkr7KhEkLep9aAi
l3ttLIIZUJskhLAtKreSEzWw4ngzlveRNaebV9TLBYIGki5Z1sGfBzDWgUpeUiv79kQc3Gi1m6aO
Fbi4s2YtQwELE3oOpJCDk7lEDMbB3u5K+8OlV2MRnWarSDcOi2mo9GNIMSIlOMhit9QNDgilcDL+
Uif7lYup6dx56SfrpsZhqy2U53qh917ZwSweWYbRFdGDGKYuqzrKlqhCY8uvkeGSra96u6JpEMgV
7lXY6csUmD4xncpdrDfzITcJVFnq1WK0WCMwKsKawokfwn6HYHzTWfWNOz7qC4CkBIiM65aT0lJa
2oYJBaW0xSyHRFgY5NA7D5p/RNy7vOnaCJr5ufVPTmZ/TPOufZBVBa+uTYoPYyeLskFLgVCp2svP
54hu/uXRcdHbcDXEBVxTcApf2l+tQ5Or8rqbjOohDLXF6px/iJs6+pwPBB36o6Xe4fmJCM8jABh+
vfBzCSMG/n3/ucSttEM3FZYM24qefrzSrXuVA8x05WZKBMYVLhZriGtsUtDVyqITzduw7ObHPrRh
FQnyXQQT6IeyUIpraGIJNV2KnDDag2MvLDdLMashH60cczzIIkCj70PKIlLI24hQs61jMMslIijy
9WYbzVb7CnoNWpydUV2fgUMYquZjKoC6naHXZgaRBEpg2hl6jdpccesb5ivodRmMzbYbsu78EfJz
JoA5xH3rif2s63Z3b+lucJv04F9HQDzPRqejFK6q2RURCvaTFlRHPyy1Z1hF2h1rqr+X3eIY/vMS
X9fQOsQ79ZwgZL0l2pfLsEYwYwFeLpfDll0RYIovr5pOzMSNIt04VX34BOe6ID4Ha11tN8epwSMA
rMBew34RfWX7lK+yufLfJf2sb3xlTG9zYkMPXdHrRzmS2eIBvIw0qFnw4JYj4GR0snp/XOuIxmGc
BpvsLImsN+t22jam0a01a/5eJxtkv5GrDFU1zmM40R4Rq+bWCbCg5KLLPkEA70llyDZuT+Y4u88E
MVrr2J5C8BPIp9ptrR3GCIO9phsG38DJPjlR4zV+/g4wQ3KrshzeTxyM0LxA4Nos+if8XAFydkHx
VGRzg0xA2e9l0arS7tj0BI7LIiLMxl3TqLu4M4p7LOzaplBT+0GvivRWrey9No32g6waI7/d+Lo/
74ylThdVg3LHubs/pPmNXuZHaaxFNAh2w9Q6SoNRKD1kS1072sRG9yqAcDZLDtRtz0qu3Ue1iVGv
aI6GX1e/93ryYsSzA+a18dcc08VdpRnNXqSNQjzQDF0DKM5dGXXFw9+NkybHMSurPQaLflv1SOLl
UflQLmgUwiBRSV6AKLlSINrYpDmPFHUyMREOkH2tmVXKiSp88uP00SmKzTwV07s4AaDhVJaGr4UT
O7tbAUCj4EW6kBuaabkBWDR6Q93WeOCGfkium7io1o2muvfwk4Z7wykjFGeK6SrRsc4Tkmg/WjqO
AqsInc9gqrZpFojfg8499S0eGXk54QDuvQjCaE9A07z7+UpovH1bsmsQqqHyYrA0TWNN+XEhxAxV
tfqo9AjGa5hYBx/3koQMQDd154addoAqDIuIrOvRjgrb/mlurQrBG1jyLbvU7uM+Zz8wVNmXgllJ
cJn4cOlBDH+Ao9qPDvZCsSJ5VjpIVjn/9O5Wkqp0AeRHMoeEI8K466BpsvM+wiD6eN2JKbnpwla/
kw0qHpC7n98G7e2+dLkNpsq+YflnWfKE/ep9YI8jcd6O2t18j2m33QVJyiOvonwMiRdmAEOf4cu8
PPRpYGzEaFRvFwN5RZkS5C+f/rCEzw5PWbz++VcW2pt9jq05muPwl3NYPMRfTp4gTTWEBqP45ryh
n327hgk9iD5hE04XozxsO8m+cn11/0e1fMfXGqFUf60O4G08V6tGF31CauPSu4lbe2NGVQ5H01aa
OTPbjd7pJlwuRbqdwgbiYFwemzzRwgclqL7nEEIQm6ED5pEHmthMS+7SL0ci7z8cx+X54WIJMXmn
cwwWHCwMyxUq5R+n8zDNY1TPZnKYfKBe5tpAlKWfkdq22WhiQLIfhnlAUHcBnAxdckfQW/3+0sNX
xIx/SB9XQ+Cj2qgDZYjGESmnEILplHcOKNAifDTVrPKGpVUWZRLgCJ6sMbgKhYpW1Z/X54OZgBPW
tM/qcPr5HNAX68KPP5eH17FhCRG6bYPJ+vHnArXIJjxZweGM4TLK9dkig23fvdaDHMclHCr1kiRz
0MADTn0/5WDaIKheJRYsjkHXQ8yn2pitA93YT3A5h5wXgO6+Kl/aJSbMqc+z+b9+sGE10qb1pSin
OgrC9k3x3/tvxc1L9q357+WqP3v9eM2/eV3x/6ddrqMvNS/839u3vX4Yl0///u02L+3LD4Vtzg50
uu++1dPDt6ZL2z9scUvP/9PGX77JUUAyfvvt15evWZQTtY6N4Ev76/emxXanG4SXvfqjL5/wvXm5
F7/9evOtf/nK9vY82qtLvr007W+/4m0W/1KZ7dj9BN5hVDR//WX4dm7S2dXCW9mG2Aj1f3FcXB6K
ZbOr2g6rCUC5pckwaTLRyFGZRLqDFevXP37vd9vj+Q/197ZIzRRvXyngMZiKuu4ahotYifnmlRK2
YuzzujSuQ5iR4h6gqF0b4CJdXrlB2KXrSEEdLs7UVRm+LMKb6zYJzau6gpph1ut3fsFC05vBuLMU
f5+3OihgCCSUuti1OPfWbY1tsdBr8NXa+KKF/S70oVvseKusByLuZ7UpkBycD0Qk5zskud6BSZq2
buwjG6Dld34D5S0YzToJGh4Ga6UXyBXPdUlUL/RrYqXOHhg751DH7SN6xNUVfChPDkKR+6rz2x0g
0mCtDr0NzrU/qvgBPQ12rZ3Wjc17lDCf2Ai+r1MMUbDM74x8vHEdvzm63YBcfD8gharEheeI6ja0
dX9FcDdYs0D7QpRFsPV9GLogqdBOvi68VMUqrCATZmvhAkXsnFNnVdlKjdN7CHohdYNtNdfVD52N
E12bTy68FewZy+eiaO4i2LXmEs2noa+0lZ4PnhPq8SqqA5zg6nyfDM8mgUxAmawGwd6BIKVZe3AD
lHvlFVaAawAf77zWnRxtKbNzIfJPQf81MZ8NP9a6jntCppM7E5P/vi0yRO132hDtkdMG8lEJbnb5
O6GXXg253Jo1oeT0mu9mZL+A2321lDJaLzCQNDSsE7Kb/k1UrC1k3KbGvB3UNtvm4KKrFhGFfBo3
wh1+x4v9DMtsdUD8cxvEkb1x82ETdSNqJXEUbmocAwBl0uYIg9nOTGD9MfM6X9t2Mq/YGq+Jv4LU
TiBMWqitvRItdsdkq7cOSjMdvLgRSO6VgVIacSNozkAve1fWbOZ4acRbB6pU4JHqCu+asU0DFy9a
7/l3QYwrJk36erPcm2KOlad2UWPUUJCDp3eXDqDobGfq9hj7k3IDpVh6V1bqCQcSaNtHAraCQ9AU
2Rr8uoncOVBryGAikewbFX4pAgOtVeqEg+eXSKaKBupetI24Pf5pVlF1xkYAPzMxC30PhNhoCBAF
cnoyjGqD8JzxISmdXRTYBzbbyWnUqhV0SwYetziD9FvMG03kkNhEwTvXGnoiSA2mbauWGz9Tb3Rw
p/sQgtWtr439dc1fcQBMug8jvcYyl4wwKBjpQTXSozWY+HJxiNzxrQ+OtSgSDQjswAVHRFqSfygi
guLZU+fgWJ8MwDv4NvPHNMjfqarSb4o+NQ9uNDabeTyN4J9PtaaUxylE2n6IfGc9acP83orgvDaD
WnkB3nCtDc0As5HbbEuNNcTx+4OmKMdEGOpNHXXDHrVge+dE2QfdzhasuFNsyoKQI9tGqSL1Q+PG
yRze23p2WJarvFpnRr0Ngll5VlPtulWd7htqEsUVPBJXs1NADBKnSDxrfnhqQDAB3AiLjaq0xXWk
IOEW+hDxm6V/Cqpo3A5jQ/x5k1Se77RQmGCi3xDom976btIcLNxVx6gU6TWxW4B2895ZB5DTb8xW
6bdm0+ibsC+6bWWFnFihwNtiGIUGD06/fd27/ibOhgCKXP89hGvxUwetYlE51rrXI7EGsuXwblf2
TdDMd/xOsNrcCX1CYawHPFXAcxemkErLJI3j69z0j40teNz4kxMHjUjk0La3rjF+a4CcPSYBVvAs
brdBORGBmI8bbPClV6nWpwn4zd4JshNrfwH6wq+BAbrKRsuzBk1sErwwjdeFDTuwS1nmcsPqUyyE
3R/tkJbW3C/Ksv1SPPeUlXbtMpJsepWVTaNpTTtM2XdyCNlF1r8ZsTOSwjMS/Z3zojtR6XXQsHrE
PhPpEUIQ8D2LHEbhybLMyU4yuVwDQo+IVdnsNAALV5emyzWXOnm1bEDMQ6z8zvTXk512M4H1f37s
22+AEYWBZYfzx8lRXmXPX1x+yjlruPGJxx2yjeXHvB1aluUYbz/pVfnN75TXjLVfrEG41evLuJd+
Td0/TiaWrVf3UV52/oGy4+WjL/fkbXfZ8dWvk9f87Tc7X/lqeDmoHYBTefUNy7In7KNJC+RjFe60
HF8mwqoaFejCj3f+zRctXXEsoXvYswQ+B2avny849xqFtYLob5W1BmFySZtjV9N9E6rnXFsXQSDW
RJd1Oyho7rGJF549+YUXl2kDb0Hu8FeVtZemttZTgp7x6Sy9L/UyZy4XyxEuredRmqBmrFcj+tjo
oc1CcKPCCzKohErFtRdBS5quZBaJmOp7eYoUZn2+cH5cKols7Y9J8eF8iWyQ1/nhBEuLCkcNIsKs
A4pVeUHmFhrRQzNLfwjVnOOeqkTlFNWklSdztXBKz+iMJfoqjTd65iXFfBO5/ri/PKKlXApK/UZv
dZ0nsjjV7szrKuFvxh44PzoEoaDs+M1uvrGSi1WeT59SpfQTmFWM3JuXhIi+74nVBcXfFi/95GX8
NRDY7fN1adtEmI7wHQI0P4oyX0Xq+DkP3XpXQ1OVrlxY5glXG579zHosAI1uImLfkJlj7bBgmvVa
dLw9WazGdg20CA2tYW+wxfGctLM81VUsz7XjZu1DqwumIhg8mTRLzimSAInhrA8OooDjZ+p6OmMj
VJecLJbtrO17pzgqI5AKmQwFmP5g4m1e9JpSrHgD56cmhTWQrZuzEamTezKxZ2OlD7596Kc598Y/
ky5Sfi81c9iWBXxBsCsZ0d4arbt6aKLTZMz6elLgikcue4NGADSwAKgI7s+PQrhY9XIFdhto3JMN
rITaqjXielPpmuHZdkN0bqDUwD5iBHUMvYKflSg6ddCgNeurZ620rmt2JLzOuG/x+JBpYjqGJVR7
W4M4BJTUWn89wPNyVI2tOc2a5yqh5mniZEPFxt7YYevHIduLA51kyQ2ASmvDKA7hUhr1Plzhby8I
PGROZUFHhIGqfM+5VsgmqzCvsTz3nvwbMLOr9oAjMV2zAZhQG+P+20uCjVo7VukDYbOFp9p96dlK
n/DqQtdTrZqBUFq+w4R+iZfY5kKis2RlmWA2tgZs8zqlyj19+YuYFbbcg+bW8zqKsJO1vGM9NxsR
tPozgaLFmdZGJm4GjKU7Ir1c7vwyv80Jd8Ja1af+EIfuWixz7zIBZe5N3QT0axNCVLNyltXQtYuY
PeOuYReIUaQXpQcEoeT082cZruxoy/kMJZZoWVys5Xeff87yQ1N5x5fELdF5zODo2cg5JX+enHDZ
PPFonv8Oy2xzEGcFInlUicr15A+WuUsi69pEAZjhGB/9BRMdLkhozo/wjbS6k6ycPyvHusT93TYY
a5fZI6eQzF0SeQ9kkbcJ29VYHEyXl72xJEHFqi+TS3FK1echQD8nn9Q7QinNmTAaVq5z1hCju+od
KAqmqKs8vVaY0HJWL8mbYtGIXWYE/r6FCJfFbHidoMXEdmepC3Sn2jMtCAAw0JxNBv1bC+xzmxt+
C68ySRg2wBF9/l4NVCoHIfJ90MCaDA5oi3J57sn71y/zR+Zk3aXYprnX6LV29E1h7TvT2vUJjPXK
bOjIc9n1yepgphrLGMm0Qa9SiPe1BpUpcZQ/SPBIQ0rYbAYVlqAccqhspQV6utEVQolSrR49XRG7
WCz81Pqt46PbDmzD8qJJ6Kt50jv4a0F3j0Z8FUTx0zC00RbZn3Sr1aJeyS/bJbhE1v6yoBNifJC/
4vwUKOqmzxHJTeemReI5CE6dDWdwMCkHOTtaI0t2Y5g+JQ5L//kvveQuk8GujNgTjzlyhkRyBcAu
lrORSF8AMxieW+fmyV4ShcOgUhEUAQs5AH75VnOHyMOYCzWN61lsrQ+RGiJ9173vSlfZBXUabKrU
ILyH0ORspWvmVdSlI9TsQ3xqRd7t7aa8rxIFRA2yRzznqQLKQywC1l23qVVcowrhtStImfJtM+vJ
IQQXo5W4Q2JEi7p8IHJuWSyAthaolalKspJlzS9MqJV41bpW53t5rvZroTnV2nXYNqvLXntcdtE2
TqNt2invCXDDWNDfpJnot3bj3jlxzbNU108DbHgce9fn0aGZWs5qvrORnzPMhUE0+FWWExFnA37J
YJ/UCJ+GR6TYICcQEM/Oe74Z6tILtULZRa12VWqqOiNMRZ1snWN4HmoQo2HHWjPPwTvfT/1d3AZQ
3YvPs1AmT28C7YRUpB0x3Aioz4uq/p2pNISrZTi+MdXFK4K9m638YrkTN/suQbvDLW5x9w1bdbbZ
If+O0684hVX/UWtwjjpDu/WDQd/1DkG3I3GFwbJSyiRXEGheNeo3gafQc+p+jaLYo+NX0AJ7cdG2
XrokMtdNSev5rkawuOiso93f2s4Yb+MwJAqXtWSb12m7Onfg6T0m1ovd192uhexn1av+pm8j56D6
zXD+bSGw9LU6Ds6qspZFd0n6LCfByIKeJsvMNH8opvo9xljiIKNZQzhL4/aA2mtDC8N7guiVYUfT
dQz8FwCmvXZa3g7y7mTTsu6KSBerWSncdTYsDBMLm4TMOQTcJbyT/6h0lxalmU6ZooZ7Wa8vq6zM
XRLZzbpcK8ty1CRCNQj+xZPs/KqfzKq6BQWJZf1+vlbWZfFwjHIV1THzS6LiWS7StNogcxVsBLoU
m4YYJ1Qw5mt31pKHqfbnQzw8xLWrbA0911e1vZjQlGln+EaDU25cmZP7ORiy9zOytts5HZxNN/bW
qpx7hSlXWevRKj8EEChlIAgxWYgtOoYAwfNAX8FX52+CejwNWVp/8cdmXg2l+6nIoF4o0Dpd+X1l
E47VEe8qsEkqaoKzr5+Vh1kPv2hgwx1DfGoMYgzbYPBv7TCol/hZDXRqNL3YxBPMY2G9g9nBP2Bi
6nYQK/WfEuUk2wcjRWdGG1Kv92v/sdK6d9Y4jy8ibMJ1lPn2TRWUzU3eED+zmFxeQr14yHVfvSLG
G7KxJjKP7TyYW9lIQL02dslLA3hx181WeYwDO39Xh/ONHJW7xlSHKujaxTd1a2IXhluVj2sd5TmM
oT8cylr3TIEQcDaVHVT97OsLNcEd4oID00Z7l+dmd6gad34/lOFR/oipHZR10UTGVdlU2h2nHx4I
9ut3jgWSo5lyooDU2r+3Z1DT3RhOWNf4KTM2hdm1ko+ZUs97m0iJvZYihW36GByXbwXz9bgJY0s/
DXbq3JsyGF3eHfwMiFdExl0fTNpVbqBzJYecbHHoR1N/P+VxCwFR4ULm2g7PGUASOWRYOPG2bQzD
a0w7eez68ZOsV9MIkSSUz251wAjXBFEMa7F8lBYWN06qVu+wDBbHZqyzHTwewcuiXbr8gUXFdIrq
xjr2g9o9Ie30IAccSjMj0t5pb8KptG6KwgnPf0DTyd8RYgcQbEzSbQM1gKeZ8Xj+A6rNyQ1xAc+W
g0S8bvgHXbXNd7MOMm75NnNoa3C6M8U63/Jv5bSTP1xUKkJwhf4g1Ck6hU4CCmW5AGmSdavbxfuo
sNZapo67ifiFY2gX7j1BAxC6Tkb+Je+EJ2K4i0b4sXYclAMviOvxPhiV8dyjC/KjaSmIhEYi3omp
rrySBekeivXFMZ4VX6JR7OFmnT52EWqloVHN7N+wjmqFdXCJZD6Pg+NqNwKmfma3pW/hg3M8zUUi
aWodTJvLOGZUbONB6Z9TE0uYYpsZ+4ccRZ86QIxn6RFkBbjP3n9uXLuExiQbThwMtFvMxNla/p56
bNbEhrSfgknnz+3rvOidrLpV/bA+j2HZMFe0pvNpruCfxw0cX+UFdug0nPtzjw51F9SwmheHEI8N
oaDtVTZF6o25KC/KTxlZA9zYeUkLZ9zko2JcNVZY3kBRCnHj8kVdRGcaEFCyg1p2zYaYjoVSyMYd
V3f+uZc9rMp4sj/3nQVJrWU314nTzkxBaFeGvkm/APJbRusKLdyMYjAW0a7iOuWzNkk9aJ+xa56/
Dz7aNUra4Y2v1P4VeKpuUxki/ZwpoDMYQYNFYI2sTgu8Gn6pzgdI5s+p/tKLD7JDM43I4KmVuGm1
qbwCJAeRSNCqCGPx5+l7zNSo1X5lS44pcmjVBzsIS95tc3PI5rx/mB0FVgLNqr42qbtKrU68VEYG
6DtijIr5ecr5jts+hk5LaYOH82jAiUunMN/7KLkSzmQlJ1tTxA2TCQ6q0PFfHP5YsmtitAjfdFH1
YBaiPxSJnx6MojAfCnQqzl3yYlznGGdfhD3EmzKp6htdE8MpMYFU6GgrflDT6k6OxtPz1Kl1+x7T
SrJreSS8anbC26FwBTufvPlshPFKLL/Y4FC7slpLudemST+weVL2s2XEj3aASTpnl/81Y1aqbq98
ihXII4JNqjSE4tijAHPsjNso4/EShAnJ22PpzvueWLP3omkBKQWj5ulRXkMMrKhrBKSWndEH2XNG
sm61MFTej2hmHIapTbZtD3Crq7rHwYY4T3YDcU5MJ+5/JS6bTd+15vWgBtCRdKBtO98OP85dci1/
i1u6H9W+M97ZodLv5txpvYTwiFsN+bJ1hNnmi9ZfyxtUcZJbBfMMuBXKu2OE7NC+TQLzMepnzoTL
jYG+cUcARfbJV1mriVwlKl1XiitfaPnWjJr2o5ZpJ9kVS91LFOa8J7OhONl+mu01ZSzQnnede2vO
JoyvhvjSZUCX3FqBmcTwNwNwlqvc1MIbM06iDZvI9nPm3E9dZn4ZlZSXomsrt0am6l5ZiXDnw/f6
oR6mazlW2Kq/K4h7P+FfsPfN2I2HbubVjVpJwbuNMWCBPIyTr310zbnfzlY4nuI5D26zBiqR8xjL
l5LFLnCVG0dlMmnL0iQvW66X3YzAkw7f797nH3ysf3q93/rG/1/c3j940//Jyf7/oW9cc8VPXeP/
q47mIv/BN36+5A/XuOr+SwUVg8fbFuhaiFeucbzmjoa7XIYJu3DN/OkpN+zFU05MNe5wW7PsJb74
D0+59i9DJ+TGtQ1i2Ike/b9ylFuLo/919IbqOqZtaK7j6Cpu/L9EKmeQPjdjYg1X0IN026hqZ847
JCOII0+L9NkDko/8SRngkFNU/CEVp1JfXTwjMrck0Zx+yFsevqFFRW01DSHuSHfCUrjkwDhkTRZy
lMVEwBaOU+SSkwnBMt/r7Gzg1CArlSrp9q4eHkHAxzsgE09h0XMud5ezgMomov6o6vOVHrac3ZZD
9iXRkFlJVrKczeBHV73IPgh9trfdYpbAToIhx4bFZmVBCpyszMpCBFhT0MFbLDEyAaA2zmtIXClf
snrqfokSYlqDJuekLJv7fh6+94wzjM7rNImnTQwkdmXpEJme75gzpRUa6ME2dhYHk7yL52bC1U4N
BlB1NyxnLmlUb5cj2KWYpmEKDYkSxh4RB8lyEMznxFQJJiUbQD+IqWbJykRZTobOWAl17UOUu56L
HiWF5ZdfEs1afn6AwZJD2nL7zRlLvJYhLCIdCdK9YfdxiU6ldCOZgaXlrCsYqWSHS6+h1t+bg6Fs
Z8I82MtVD9KELl1sF2O6zEUdQIv1m2Y1Gn1ta2Dp2ymj9iQdYwlSAt8darKs98uNfNV0Gf3VmGeP
3NRWGOmnTNu8+fSzPf9SKcc4f5LMXvx7sk9W7suJuZYoie71ML2ccwqsmp5hphlg9SUrm2VSzekn
R6j+9lIlc9kygMyZMNoecrTS39RfLjAbjsFFuZcOlX/wpVycLdL3cva1yMq/Lb8aSmajCsnbxDSe
LpfI3Hmct0O88uH8JRu7Xw1enMe3n/BqJPDWFgwfOtwzF/fSq/affPlXF7zKXr70q0v/tl32fPvV
3vaMLCTyRGpgzSY27uIDvMzxf6x76149XxKlMGm/uebiMHzlGrx8Qok+HF4/6VQV9WjtdZa0yzWX
jm+GlQ3WfB9GpXmUbgBpBJc5LWcpuRTf1BXCx0ksLeh/ycqusknmZCIHkkNeiuw3WAFlOZPDyaw5
tIz880+XHWUiP8YU4ZPSDelOVukJNqiPMtvHYY+jsMHFpA723kixxVmL+Rt9RSx3cYc3T1bKxEl1
Ma/PTbKXrD1byu25ajBXxxDHtUhln2TTrKLy9iizqskB7vbVMLoVqBihtWSTJRC/otrAZ7eKIVb4
sWtkMZIIMY6JkAxXqSFdtcbPUS2e/bmEcRpvErqx+nqsu88JEoPruh05TKdfUY9dZ0UYbjOFqPep
zPX14EQnlEbLbTpikkAJr8s8ww6+GHPf73JeQasBqPOacHR7++pbnn/GhE7DCoak/83eeS1Hqmzr
+omIwJtbTFmZkm/phlA7vPc8/flIrb2qd++5jrk/oQgiSRIjCpLMMX6DXvz2SRN5NBFpF6v/se4r
yC2+w2K37csg9v3a4x9WnS4mgvfXof8vDsMce8D6zf5KNDniYyvO9FUU5xOHscV3X5zgP15JISdM
35dq/+fVdHO1q9XlsRZfsmuoXpSuOR0Rvv+7zXXzdb9rXd2YJkOR7W5cN/91WHVs+X6Kymub/7fT
iCu7nuV6GFHnpNl7kRFyhyeElu8WRFf/HU4XdWKVL/hFSeVlJ1qI+lGAW/4oik2p+K6Kff46olgt
RMZbbP5qKXZat9OK0tf26/rXMWMipItk5D5+SJlrVRLY+to4K/JHPEsFUjdQ9UnXMLpYoMAM0wyQ
bNJcjRHpLiOVg4qG7K8hpBWEP1Gkj+vv2Wiuvr04icf3uQ9MJq0kgjJnj5T9Tec41WEkNOfUJBqy
zP7QdAzn6uSUdR+mZB8VAjDHCbU9/KNUiKvW40I8jlgO3uBS1/xIV9DgaKblQQLgyozWS9TAs6xn
+5S1ueLmSfMsW5K+j6vuW55IP9KiwyJRGZygQk01mghqpDCKIuOtQ0Ro7ySOExiT5aEUsdeHyhty
eIljXo5M0OHjNPGPLMTWa5lMDCAkeDHhFMR6titqqEwjomO7kighkYELPoi/sxK1SmYcspua5g1T
BCK+E6C7Lss+l9wGRWhn5TlhRO7Dbj3loC4LLZvviqS+kZcORbem9xFDf4ITkh6NZufELXmTqnGC
Ar+YQO8Xso9T8giGVfJNSCPu51hWhR8POGYskqzsdMBxN8m0fqvy5NPqVy1Qpne5exqi+tLoxJKa
Q1XIRVBbWz+HJNXaaoMLEIvRZCJnvmGHiGiGqeFaKyoJD7qZHxpz4OlVW9XTELH30BH5gNBJDLuP
JLpFXEmXWHtQtZ9wBrRTEcbjS24Bosvi5bHo0SlOmnfMumd/sEnALA8obZ5StT6n9fy7LhQysg1K
pkbdDPwW8LqUHhJ0Hi+rG5ZxcoRyFjLUbW+R/CJ5TqeKGUK5g3roFQOIPbtQYbQ3zo9UqWJX7VQb
hP0W/WoiVCirhACl+j7GSCO22H0myeA1OqLddd3vFZgNemRYAdr2ecnY30jq3ZDwb5kokJJXeS+B
u96PQ70+DN/sJ3kexj3Jksk1OumXFB/CpgSYGcuvlbNW+zbE5CWKwSWu2kXLkc4od5FRW2SMauwS
kHjBH2fwxjpe4ckCKO1tjJPRHtvFG9i0EbDTDYDa2C0+gc3oY/9k+bDvg2mDq2pO/x5lpGw3IKu2
QVqL7H6UgbguG9jVUM5x5Y0bBLbWevNsR0DCnDwBcfGTMHO4m5x8Bz0TE/ENStuDqXXA1pZgbI0h
VHZ1zeMQwOnqAn0D4zrZpdnAuQZQIs/cQKmgEQpwBDWu0GGS+CAeYOflzGx0BIpce4P9juB/0QXt
XPgmHGcDB6fTe7/OD4S82qBLVj6V6nASeywbtDgGY1yCNUZron63QR8noJB70MgF70e3wZNDcMpd
mj7gdVKQpsjts7mBmQE+uNkGb3bAOTfVopzVNA09/p8o0EFDzxssOpxQuTSipb7MpXlcZmc54Ocu
+7WtedAyhgfE9jH+SwpMwPoq9gwlKS5LQrJG1wjdoRX6sm5AbXmDbNcbeNsSMG7w3OoG7G5AeLcb
1HtdT4XAfi8bDBxpdiZkDKGbDSIuY+cTx8Z+1vLLDLyVH0lfAoKNL+j9l7t2ReNtyqrjDPZ83EDo
YMC7oCZuv6bjpw5XwZ3xynK7DbxebTB20PBFTwrJAN8+bEB3OGhA3of6RRo6yzV6Tb8JmzEluvyh
MRgxta6kP0WUSwJ8igwPB0g2pGoEwr7Tm51inzOexqMBoXMwRn8x6BKMFnA1ePu3CnNEbSLQVXNl
vqZ3t83kwJIc+8aVY9K3a6lA7VHmb31PZNdIp0PNj+uCmvm1juGvsopvCfQdzHR+Csvm0oW1sSfR
eM6lxtrV8KR9BmmSO1f9c6VKPBRhhWQ1xnX7XtOeRg3uz5o4R4BIZUBXuFymFIKXluCpk9Hpxkg+
7PqNNlxX0L3glO2I1A87mIv7KO+DppnvEIL7Vjip4pEET9zCKdwKP2t/KdXHxqpfeftSl5EfwGRH
RrGXtd4Jd9UEpXghM4kjS3RO8UScW5LJ8lKOHhCAl4TXdD9on0qFGufUg29SGguAYLI+zaBzfWuM
QRz38XGEAbUZ9d5kkfKsYL3O4ccb1BOdPCz3tRofnF4fPPSS8fNtiyctLFY3gmHgSRgzeGAf9gjt
GE8ACcbRVs/Dvdk00hkUtcubpu2bNFmQFbS8Zku2dYVzBtWjuljW2EFkPozrjCxVzTs5hZC2sWhR
j7NxsYf+juQRSCuLZ2/KBoK0XXbM+reWUZTHp1EO6e5I1X8wQai8BfCG0zvOrgrJehqoQfl6pqFt
jF82qSv9CGfKH9SlQ8cyCZZUTx8I8vr0dikgjkU/J1UMvmfO/QF+rzc1mLbpSXqrrftq7R1vGPGy
HSwdElH4uprYI4KVeV1UeQ30vAFTAPmjX8LPdjDOyE6V/gQZkuyZ+atoc8m3cGf2eFPKQ8hMwI1q
FcRGgvZWmLRBbp1VTDJcvQkduAeYxPVxkwWpkmDNbarvjT0ontMWEcrVVLW1bONrJ0EtLqt3ImrF
cR0ZEaEKtpMM82Uel52pFC/lOusuBvCHPOIXxsQTSU9nvUGrhbSb0T2TEGvdQQP+hkHZXWZXUzAu
RuaiQRLCXChtDN2jQCvT+/ZRhkl5Z/fVzkrn/oSNzM7KwmlHR9KDTvocBzAvoT4DFwwvmoU3CBM8
gwdaBh3Zl0FLvALLquWQDBvqP01ewyLNT1AJ7qxB/66P8y5W1ghF73h7MhwXzYV2ty7kFFsp3+vo
VFbmcoP8KcKJynhXlRaTpZqeb+o9pe6noLRxCtHs5GetJMhj6AwUELVr3F4GjtJWdevakiN5JEf2
Q1o+2wSIBvrjkxk5u7hT8IaDRY4spjoE+lRCyZSRmtJqoIFy9dQxcmgas/X7vr8gwNa60ah5WBDU
94apvuJjcq5gfJtoCphaxoh1y08MMj6KZF8z5YZG/Gzaw2ygzosP+k2ijkgDcio5tXfABBZ0nyxA
PWFzo6jxIwY4I88oTPI0/pnNMO0zCHvz73ySFq+xsJGGdHjscFf0ND2zXJLaQ1CA1PTm39pCB4J0
aeWqlv5iO7EFQ5ts2WhLXmyj8Y/fPHz4MsUwq5QSL8nK8NgwhJZbHNJrVOlMjL8OkElyy65cS9KO
Q5wD1sluLM7orUObeomSd77eaDJmr/NuhWh9oI8LCtKct2aZPtr6+AOpcB4AhbS6zY2L8wQettQy
8hnOTWyam2z1uakPZb4kRwcB56g7ZvCUz72zloznGy9PZ5CnmeQ5Va3tmT6QNPqY0LO9xwuUrjMv
M2Ccs18M449SnuhMYo87HvprZD+DM6yZ1u2rDrvBCAwzt+VxRibJl8r6NtLkR1RvB1+TyydjGH5G
3Zh5cg1viyxSnjo1omSxivpcE8iJOhziYg7WZqZrjtMYC3TjDvHIZUYg1NaVb20SO/jxNmaQZii3
SgACchP/brtOvaFyHBeui1vrcQ22ttNxmHUwyoFp0jXTluX9GHtyWsaIkDVSgooG+duBS59j/eSX
BqDKfF180n01fd5m1JukayCP6n1qtpc84mMca9IRAb30tk7HOyP52drqXTup5ptW4rWUnGrAcMGc
Eete01/LCoWB7BqDI8eIA9tYeUZHCDaWTsQEyD5DNDivqBt5caWQXZ0UXr7ERbA4Y2TyoKgTFIhQ
vSM1Blmtb4l0h5XppshcozqEmZ6SE2mYkD4Y5Ay5GmjXOJgGU7Tchm0s78oof4uHNdqX7Zq5A/Mf
lXjFS1+dMYFAtKfhAXOUwfDziXDH3GN1k8GmW5JnOapMvwyn3yooLMsZlaOyjL/N6IVwfLabuuX3
VMzaq4EdhpcBm2ZgOWvBpJBaTTenLdNPFdU5RHp4JnF5U/fjGjjDJqcs3RbO9N1ZuuyWyBG6mZp+
UmYcfbKk8do1OkZEhSExlZ/A5xZ36tcN93Q04xBQhzP8qu168fMwAN/2A5Z/6za6SdDG2cxcsYmJ
8/4nTD0HPMR8tnFITXA19xWTj0JtOT9MqfCrdHBRkrs1LPQAWpMvJoirLowe7DZ7rdTwMCn2i94h
RzIySXY1a3luw4ZfdXhRopmDoS7hWnJ2N8o4c6Rz4jWgc214XWjrvmKm8RnjeStVlguAHKV0nADr
DBOUSso7F7ek+DCqurpvHX4ySXloQaleoBmHl3ptcmyiz7pEFhJ6HlXTPKLAkm+51q1OsaIaKthU
HK97RZvhQ9HO8a7ejiQ2jKv22a/W7Df9iP7z+tQ1T12uT5dJmfa9haIrE1W0I9dsdCd0bLiQ6EWq
xwgZXkaxaTNYwTj2szsnZ6DCbkKIgFQzvgL9tlhyjDWRtSkLMq/RZFzEgnDk6qWQp3dqZf2rrjSX
Zr8OMa/8v+sG/LNcFUzZHtVRt7KN8L7YFgMPY201F14KlS4fnba5UFUM4lgQmq0P9mItrljt+li7
pK2V3E/YoIqqa31n6m8Jw9+TqLKlRr3k9bz6xdRVwbWtpobIdURGxPeKJn9sgKCvMXy51hgqvhLY
/5VHcWKxIUSykNGYhl5DW/uiSmxMMrk8Qxx6ElVGUSd3liX5qHClD8QKKytbLr2iJA9TM/+eUQk9
Top2i4dafjPPhn4RC3Azg1f1Jtop/67DcaLchwBAvAzupwQeLdRuNGk4ZUZmXJJtIRoP+EasFZCr
BaakV26+OgDLI9Ndjdref6231QbMqXLdq8X2uDZURkbzBSeF+xUkeQAAf+LdGfSL42TSvZFAQ2NF
g9r6tWBqhUdCvJ4W8DcSo5BNIKTEuOLabkbX85DjIvR1IEuuzHNUJJeiLoa7ugK3JZ6otU4iD8Ez
18kxgakYfT3okh09qGn1VIfRfBbNxMJsKsSI7bI+iFXRVrHL3jew2AnEXqJOXYAVS1V2CwBy9hw5
ci55qTmXKOOCNW34iMLWuYh62HzjPQI7CIPbMv/H1iwclmNt4QYrWjALvMiJohG24fnDSrg/SJFj
Xpq6si51GTeBgsiezxzLuogNSp92R7k2QJFu7cQGxNz0uyZvPC3NeomBf9zvugIhljFZGLmNxs21
bdw0FpjcztrnKg5M9pJGcP3C+KEuDRvMzpIFmhWWEPZ6TCYwQh088NzJw7At9L7rj8SUSjee538p
Ff5/FMH/gWGv6aYKA/3fepr/g2H/0n/Gf/Lr/7XDnyACQ7ZJ+5uK8T9ABLIpq46BzJgD3AOkwB90
e0VFiBNCvqk4GFJfQQQbvkDeJFcUhqs2mp3/LygC1bD/u8gil6ZDtJc1ZOA0XXXMv/XOqqZK4mqx
l1tTIdCai8SJteVr/iia1lCCMN/4Cl/Fvxvo+V6DZT4wPshWOETWekliJuSdU/X70mJma07O61gZ
TGcqHcVoxD/LBbVeS5kO7WDfgIOaAKfrGBgq629EMZMLSfnWAyWVgLfJ0h2TFJPc7YqMH/JOntaq
yz61Ijw1puE0xel7LK3fYiW13DyckkOtbzh3htxqMTQ79EZ0z9HhJOSNSXoIWxumLhszQ/wnduGU
1b0oQpiz1ydR1Is1H882H11/DHs8t6Xa/NcOQPT/61b8cRix1x93SbQSleBF9smWEqPfJDtmbSwY
RJvJmYliuCXSdDJqxrZBVIlFtjFj5C0p+E91usjaiS25yOWJIsKHZPjEnmJd7H5dFXXX05RiR7H+
P4r/+7OLA12PCxzeOJLVmo/9htmXNzqsKI3bqihdN3Qb3v+6KkrESkFLiOJ1l+thxC5iFVBF7MlJ
Lnv/1FgxzBWNh+2kfxzxq1bsbkRwZl1RTCwilk38dbF/XdP1fOJYf51KrMbbQyGp+sjY+b/+n3rW
uftiPQ5t1SvrMSTCvkHpS7FMNtjGpKc8naKYb9QMEzmYPGqrvaj6alhuG65Nvo4hWn812jZfV//Y
nIm0HzEAKGSiKFr9dTix+p83i1P8cZVRH2JMvWG9+VTjl5VuKUiBQBEtG5EjdCap9tteQT1XrAvc
imgkmotVRKrS0/QoakXF9UhApQG3iHUCgyCD/r0QDUuRbLzug2y9Sd4VQYo2BrhXw37qFSgU5BL+
XRzCsj0VikrGeaucYQP4Na4l7iRFcOqVTAPhCNdokpAOyPSHwjCM45XoXSaM8hG02Vk9CJA1mT2m
7iCd7I3r8FVUNlyTwd0koSg4daIoauPeOqOnFu/FmliIHUW76+ofhxSVYrNoeN1P1IVqNnpVWiJS
H6023XFRfR+XBs/zsD2vOCTQUzCzNA0LlHzefwjOmVho5FtzF14oS5FkVwrmuRXSLx7WY9MJB9L5
pFuheShX2c+W5m7Vm2dUmxdYWFuuVKQ7TTRWig5m5UamuzLoxOq1rjQ1NN1UxPYEx5AMU7kSMUjp
2FvtTU8bqF/g5g5x22h7xL+x1opY5KbS7GCoPCfFPBVkEzoZKb/w2TGNhy4JsW1uAUr1Sau5ydQk
vlgtIBPpPf+FOjKDWDbYW6pOPQN2W0EyaUwHT7AYBZcW5pGzjxz4NEBpjsrwamjjp0bUb1d0EYqv
5VCfna7NPMeBmlTIWriblfWJiKxn1oN8aJq1OzlwNE+GZP2rhIamfrDIQGlbH21vOX3D7BL3SnDs
6o2eLZAY18pklO+1KV5J/NIZiMWV33itaxdJ2W3Eza8M+5bTRrO121slHkEWWCk3Rh0Rcux9g4rM
3mzN2pfqiVdgKUgjYA/SeZI8+mWLpqszTl8PorY9sdfHT5REHU48i2uNOtwhSz5LVZXv7Y0JVi8Q
wA2hlXBdF6WGJAgnc9rlAATRR9VyPmW1tf3CmLkR/4rTIBHrsc2muYH3DzdxRLfQ6uEdhkPjLzJk
98Ge4LnIqz6fvop9c3CGTj3G67oLcW0+RS0Z1KiWTTeKeAHj0gE1hwiPWDTDUZ8goptDap9wirRP
nbbqPukChC57DYbWvGpg5qOdlEFfDTReZAiAMyOag7I8dOlueZJLV4uP3dP8Ycf7Ad/BChEYb33N
D1g/42Ct+djby0xBiHr8TFI3u2ANV0ffBtKKMzS8wzJ8C35o9V0zYjmC5LQvxySJVS+wkDAFe2gg
xrxYh9L2CAhE8kVZgkb/OYSfY7EdOm09jYhVCaTE718xHWmlQI4/C+1mgDubgww8DzZRZrKFfgqt
pfoWL0esAVTIDwbA//iEqKERHUcTfSAvQ0KVbLE97ib9xdQPunHUNGSM36xfcHkW4wW7bURB0IVs
09vKfI1JIeQ3IZEq1S2Ws57d4BPeysdaBqLud31AqBIf7xV1pKH3iRR23E5VQvVVdwGK5LAzGm9w
jpLtaYhQ/J7rzrXU0p2Gb+3so2fOEcP6PoaYjs217EnDzWI/lvl+Gt6A1bhDdKn7n+a4b0/22cr8
htjguDeSU0rUFk5EfowlAzHdgz6c+uIUZY8Q9QbdC+W7CB9X+wAyJ7QP2ucEN7ms9ptbbHZUs5ui
O46NV8l3EJyxgIq5v9pzor0COyfTBz0e5VpnL1du/5s8p/ytfbUlQJ0H7XcKAo7x2r1yW3S+lB9C
A0BDgA575ezz1Rtf0/PsBNN9RFjopb9NfI1US+9lZI00Yj3HxTzO2h5mE4REo/3VW96an6Pq1s48
JUFkaWeuN7b6PV0ZUp/WlqzNeoPQYyX5lbm32z3T1da6ZMM5TU7jynuhuTNpqTTDiRy0/23Ec3Qm
s8z9TrGJjvYp/5sJe5FUIYF7+jCJx3SOT3XkRVpg8gOOeHecjd+8s7rxMybbS5RI9YHtK7+r9qHM
jvVKHHu7YdwnqWFi3J94OlXr0NjHVAoK8r+NZ5JBHL3+oxrOxuyhcU6ie+k9CYSD45XpbTIEeLVN
umfZZ7k/KLMv39SP+Eop+rNDPkI+6LHfHZGoDVuERXdWdc6JXLYMHW7QukZ6wK/RKiKJfLNmixvM
H/NL3LopPPcgNx569TgRdRhHTER2mGTMe/5NNOywpDgM/RHbN2DByq8UTAmXihJft1dlf1Ifp+LG
Mnfysyr5yB7L5W1i3SffjNkl/WSOJ8VkBO4V76AYOl6FaF9suk3wRZPHlZj0im8zb22LVHdS40KE
4NFOH1xr8fLCn6azCnHMcEMFLuuJMqT/RfOGAVT0Tdp+74t9hrZSqjwPNiaTfpseUNteF8/8WReu
82KDLgm0O/ilYexafJsdN2xPcRjU+m56R9fHtPbpQjJhVxegNrzq28anouOsXc305cbnKJ20T2PP
yX3uOdFez7rFQflc7MsDplUSqWv6zcGFXEg63cWqY7Y8riSRXK0Kxv6FiZMGD/A8fDO0b81wsPKg
PwyP6s9QC7L2wKUR4a3hkOT2XVvvuSYc0LEzVZEk0lzEI17qt450VLLXyOye5SEI5V1FCi70etDU
dMXKdDNON6a8i78Pyd3q+MNwxB6En6vpZXdBZSi5G12HEKVF9uOlfCtum1N8rz8jdbo+xsmOuLza
fGjaPVnEoYKnUzKGC8g5jg04w1tlJpdw226ySW5RvyzVrrEDSzqjE45+w5x5xUMC71w/SHhQ1u6S
H0g0vRXc/x/Vq3XO9cN8gNH5hL0JzLboAZdiuK9KML85eCEvexLDUxaMtlvwLkt++k3WTuYaJFBJ
iXZ14JJqL0w8J/ZRCpMYBfP23dTSsyF5w/qsEy9bHiYmpd0nNmb9ZozjQQvSDH5kj+YGeHmkoECH
VE/PQ/y8rCcbtlvfe0l6GvLAMvfl8BSlv6flfSTXwXzSTeK3goTu2KPWeD/CkJZZkXfaiO7EPrcf
5RXnlUMWQvo7YNJRkaaQ8Sf6nOobRTp3KHbaQcanEA4xoboZ6jzYG1ImpHndlbLijj/tT67yPv6W
6GeOnp2Z0MTgwEbkH9342fSa/fQIRkFR/RVnrpQsLQz/fQ5GJWhmt/+uWG6FdvA+G/xnAoKmZ56w
FXfTneXxqv8wUq9+I7BvXrKgPeoPWrZbd/iEn5cLkBHtIzz0qVcZnhXwpFkBTonyTzKN6Wv0nCae
/GRhjhtw5YrHyxC/zQ6QmQM20NGLfrF/1ofoNrr91b4NsObvsFpSYJuDjCk9iSeWFSmQPAyYHglh
euGh8LinLvR0N94Zjz/cX3Uw/Oh2pn8kdaxetDtQwpeFToEBwIs+bW8M0t9vsgZMzm3fjMcxhFDt
FjpMwCB8Njdl6iDebGrcqdp145FUbrbXKj+8hMTZ1Rcydna6J1qLgpNRkJZ1o9mLfdKLVkXSdxdN
wRFMQLG5i3vVR7ev7xMURl1ZRr/hkelS5ZbE3qN2h4r3CXycB46XrHCr78byjoin5QGp/+64jQf7
WQ0Gdae8HbGpmD5wd9FuliA6gFjo7qQf8qsCByxxu0+UYwLw7A/GoXiQX6JTduukfBLcwvTC9G7E
/fCl2qdc1T55sN8lZob0uG9FFjSVt363uOqABG1KHLI6Vh4zLeyaWFKHvL+fPHSAB3oXxVDjTeYN
I0zE7OlFeVYjb3xSX7u70i9348W4mbHYuGRnBOR9HvYdkns6N80zbmBI3o0XhOn3H4jVrDdk3O+0
HdoF0QGm9o0TB7e83mAoMnIEN+idtcjp8c1wdziduUv5RAuycS4znRtjF7/3RwMkzCdk/1N4+ug+
55viDmky1G/2jD5u1FN5Q9J83XXcx8yTgtx3XKBybnobeoVLEx8e5c7ZqV566Y+kJevn7K5+lr4l
jyDfPtNnx02fLVf+3byikHM03BqZJxdA15uJqKDvPIPIMUHupD7LondbX9nx1XijJ+PR4Q6jYJnL
9LI8sXO09eHTZX1sb+AC18fsTjoYvnVjPKML6IOB2juX0kt21jskSqn341uz9db3wQP056IgQVQc
UJRrvkvaocIclFLBf7WP9gxKjvmZx+E1fe5vpt/Znb0fb5rPnFEPka9v8u9vxV3yuATh7/i9/Fkc
ZO4EfYxxNs4DoGpvLV36z6fhFpD0bviQXxIsGjyTvsXteKkS91n+Vfo0lGdveVHcbnafne/DR6/y
y2bn5qE42J/6S/u+3NER0kHqn+17+kP3pjsi4fNTds7O6gvqdJfmQX/JAtnjpu7VW5be6kuc4Hud
efQ+O/IfPrFC48Y6mB7ya9+2h+4gvaHgTvcGfIUervnQKd4mEPi3K8GA4lDe80k8Nb94VquXvHSP
6znddS/rOaKP6d+qLKhu+Tplv8Rz37+l93EMAMmdeYv8+YzxmZ6CYHB786QhxFkhXQ2Q0eN9Tn6R
ZO3f2MbLlAw+KpU2cxRujQ6GwQXIQkYYp9j5+/o9fZJCL828cIKFsVNArSx7dBF7m9dE+i7f0i+b
HhmiI67SvC0X8xQd5uPMD7LczT/bd9zbcEfZ8byXzxhkaT/IAWFp/SrdrztlFx0qvkipckB1Sn6d
tG/ZXj5Gx+Q4B3yLx2a3BtpJutVu+wr73Mfi18LQrvNj5ycYCvB+hconc75kb7ZFHmwXPyyP8t66
X2+Ad2a3LRlFDO0y3hX5vfKcYDyEl19b0ssF3VOgsoVXLUPlU3qfPKxvs+gARS8RMrrlQ6S73Uv1
C3QLnYrsGt8HdgRjUhLAcBM+g9+nW3wj9df+WPrzUWGq9tnfNyfne5EHkuRNj07m2Z+U2nckAG5I
8czbVa83+Fp0j2PvDUipNO74ZL3JL/gZ1F627ouHbXzwoXxvPrhEZGwSw29+jcvN+sYHcfy+8jOi
dYRAvb11bAwR8HulW8Ky3lVbdzktwffxwAiPueYj8GQf/BF9RexFQXtPX8pn8mMtbqdl373k93R5
+f10y33NDrLXBNJ5iFzlXj3FvKEMgTzlQz5ijGveOIF95MXXcVT06qDxywOZWd/cO/fyHjb1oScB
9hy9tbvaX05wEWK6sdfo8D326wDIYcw3DfDlzehWfPDSe657JmlFJyl7847Z2Bv5pui79XN9R6fA
+Km8G/c23+5059yVb/XZPPbnuPOcR9jvE0S8NOCTpl4YDhKH4aF9mQ8a3XN7nLzWx9Tkyd43e0ao
HHl/sX3jkTHF9As5yeYjOo3nar8ehl8j/cQBQ3IPuNwh3aVPyUP2YJzL3fSIZICnvCE5wts6Sz4G
oryZD7yz4SuxRX5A/ZeGCE0SyK/L5/JZX9rn7LG4629KekHrh3MfP1tPyn0LAugYnsx9cWc/QEbx
0/fvqS89klDkddYO2x9OHTF5ztYzX9XP/CIZWD65E4Dnzu1HT/omwwhP3IwhlCcl7jc7vuVLI792
IU61O8bFJ/OUBcneIbx7ZL7wkO6UO4aZPLXqiwMaHTI2PjnH+Tk66Udn9ct0p9oYr/5CV8Ejx5mZ
C7/i2vvWc//sOD4wKZ4j8AzP1aPzxkV8j/YM8NN03AnGRTYysEIvWWNuxPxIRNykLRBZbRosYvFV
B35a2xSQrjyiKxFIlL6iUbYCQnJKH5iFEIQSUltiISJR11VRihZUZtRJ0z0RihLXY8s5WpxO7SM2
/JRN63wU1mrhVB+1ekLgB/U7ZWIsOCbnTvoYCeYoKzRxUFcN4qIHMF8RnsHcIy4fSeeDYmXVQZaj
e5WY/L4lrXwSC6YupiyZR6Gy1W4qeaLUdVp7wFvXV2di/V26RfUVQfgRKnuimPVywlcAcI2ZI+qM
862rJjYRTPslstsiQJGfCElZPpIUJ2crlLLWlHwS1i6XVic2mKDVc1K2qnnjw8YxzAeA+N+V3iT6
ogL2jxlR13NEggqUIINy/L2y/BapDoZBmzgYUS0yAnIqb0SDBOxhWCf7ea3ukFWiw22ke2K0hxYh
KDpOrkmLNLRpq7d5tCxvyBYAtRu9tQe+S2x7Kw6zSUgj0Wt60y2kK2K8Iq4rSugPkqybmuZchFGx
v2qL/ZPeWC0NyaGNo11ULnA3hZqY0Bob/7vgmAxaAPYBMzARBxWLWgI9AbqWuKgZhg/9UIw7EZf9
itWqG79VbRKWiO9Jh2RTSJQ3dcV5i5Qv/y5hSY7G3lYnFn+tinZitw1thOQQco3Kpttodr8yufsl
z7ZHbpUOYFN4lFDec3tEH5VN/dHBt15wZwTlRZBl8AKZ9ymykQXwiyFCRXJAT7LZlCXrLYszb2qT
opQhQLluSpTpOiNdY5ZKEG7KlgUQmfGsaMP90LTKbtxUvla1RqOSqDq/hvlqqfZw/FoTGxwZhcEk
Imb/R6XY72tdFMd5s5iqsTUm5mrQ4atA0k8grokfd8YmBfhVFtViUZKrPOXb4rp63dp0IRHXMd+L
Ztf6r6NoQ4to4HWTOZUP9mD1iG5bIBMAPXjjIhu3iUMWFF7FkhFlALu5KZUCBKpOoNGQhNXRMXWU
+b3alE1Ruzhet4lStDGPbcGRFDtoZoNUqtgkFo2QUtU3VdWqRlFQNBI7Eb1GflURacTtfLOQt/06
1LX2a13sIHYVB02FmK4oXo/31VJUXne/7vN1+L+bz5sObduOT3/tIk44bQq206Zlez3Mtd3fV/bH
+j9e2fXUzaa4qyK9+7WLOOQfV//Hf/dVFHuC3eI5EcU/zvRVFLVf/6CzKQWbQjN4+/3ElfzHeyLO
bAkeuTjEH2e+/p9//TP/fAXXU6wfa6+/kKZ777Z8Rrl1/uum5CgWf9X9tfpPTcgBENf66zCKSFpd
m4vStY04bCWIgtc2183/VPf3acQh/jrsVxtLWx//F3vnsd24lrTZJ8K/4M1U9KQobzI1wcq8mRfe
Awfm6XsHVFWZt8xf3fOecEl0IinCnIj49u4l37hCC/y1ARtJ/rHpUrKo9DVXjMJ66z/9+olRWDkH
6y3+2kVd7/7543ptRa0J3NZw+HdPsd5jvfj1NOuvv72a//i4f3ph//Fp1vv9+kvr8/26DoFKvPv/
BJP/G7uH4wSIhv7z6NHmW55QmS+Tv0BMPh/19/kjSCUGuBFPDEUWXEiGjP7h97D/x9Yxz3rMGNkm
w0R/nT+CsRMYuun5lqkzNPR3iIn5P45lwTYBcIL+Dgne/9P80b8RJxmmwaCTJzNIpi2Mk9/ESWQU
K6J/w3SH9DrYGZXOKOtk3yq9ng5RHavXyp7K02DDIG4SRuC01qGQ3BNQoyn8rEJ0L4WeC8nrVk0B
2B6rvEtcQnTYFxyzvC+AJZ9De/4ArF9ThUQtPyEz7oL6dfT96b5M5+k+6H33v4ixHFHn/KbW0eXz
1gOx6ti6zek2E1y/vzFsCHWG/0rdIcUpDiNrfrO3/1js1qGSF5W3lefRQyiGlAltFvvYRxiCGifj
ro7tn31MoyaY1H3l1tPVNPCMWQPnwb6pYB1n9U4f6el6SSxDTWNGj4UgV+vjw0aS+YNQVHLUJ85q
vcF48YqKMSqzU7swrdWFpmh/cPXyT/Ju46V1afjNdr/TSprikSrTizUAHs36bqBBwBziPGfRzp2M
8GLFI0FXzd92obJewUv6N4Fnxxd63qUWncrZ155dwGDHEjMvVb82+S+fqfvPZhj5TF3PRVcaOB72
0n+yLtoJEC83mPu7aJn7vRpoCQTKHmi7edGLiqhq1QiJtIXRc8JhTJjV6UdfjT98O+oOSdCYl64n
sRlm+r2CW3Xsq55elUtQqkkPrXgwUzfPnoDUkF1zWcYFNJ3b0PlCigy5R+6ScKxVeYkmfRfZPsWu
kdZbmejjS1Yxpx+76fOUxyUrNDwHhzyuDbqgWMvsyYgPjUO/i43OYDLCz++VE271QfXptmG2+2Y2
R+PF8vgsg+XBj93ibSY6pTgmbHunjq+ZUd3Pajh7IHuBay39MTadpyzxKevGffFmEuVyhubWsvLn
hGm7868LJeMd80y1/Ledzd+4Ur97w41/3Xg9HBge33KXbdha9VK/bbzerEWM/ORUoJzvBB+qi5+1
0MFVqrGkoIdOgCG5KNtxr5OiL5RxYMB4vGvM+IJYKiUU72DztPXbhPiSFWuHoN8GTaO//e+vk3HN
v2yKnuEJw9sKxJbEhXytfnuZjj5Fdt1FJTI2rTvjEr+WbuHsnHiEAza7wX/5c6ZIwn7f9OXvBbqp
e7bP8ObqSvr979V8/5emBfe47TQjvteMnw3K9BtNMx14xYZ9N/dZSYh9CZ4bNqgbokBbNxiqS6D3
eNVtaHhPJIyit97Si5OOX5qA3ncm82/yHt5dFeeciLdhfahCHeRvMHvXCu8cRAU6dB2W7ut/+fxk
X/XXN8S2ZjqmzWyrK0eTv36AnmclOFiL5M6xrQ8vj+OLF/Pln3yjZXcVUXV3M4YaPUftOlVrtxZ7
oku70GtI3eYpSaQ3yjREb/Aga2Zv2NXGw3qR2cFPo+y9k5WwCc7GkoGIJmo5LWW/6eJ2j52bPbvB
u/PKZdyPAyW2sBnPhKQLsKbKOC+aZZz1pLH3Xevld7oXNiQZUu89ANqBdw03ZhjfGenggZXP/WFb
9JsoWDp2AXW3j2oqG6GTTVdtzClaBPquNMzpbHgQDjUI2X1HsEtr9X4TGqaNii8xbn2SbQz1Zcsx
oq5wCSv8hSSJy7v//XN3/vWLhFCRwyPeLRMp3WrD/u2Lq7uDU5Kd166zv+nDySRB6oyPvtN+oQPO
jleloEhanxJIPP/IDD/9adHsYXh+/NZk8D3bzHbvYy3VTxkczENveuFTCob/JpH7qm4zWdr8A3Do
HTHO02S66Uda+YAR/Tm+J8A/PzCtBd7WydkTla79zTZCxtPrJ7vxSQ61XYCXZ/E2ZjM/pNAz6dcv
w5bUiHaKSuN5NDN7j+XaPsaLDy4WEuJRc/RmX9qTfUxKl3JtOR6nJWl2tlvmdxFdIei1X1U21ffE
Pto323tszW569zunv+rG53nlX6Rxv+/AzMD7l6+2ZVvsEdyAcx2iWJ5MR//2Ebutn+ht3FPrJtS+
aYzcuIC/RtfdTfQqo8Rg1oPxkvWG9WLyw1AjR819Wk2b8Vj+4zFGqP1RL3X721W/3cXxUoO+qjzw
17Oprkg3ykOD+vm8681hnvInfrvn4lLNJv2MP94NLLKjvEptbIuTZlJmXF/Qr3t//sn1BcbIvdFk
2W+f11nrK/j1x+cAudU+9Ab91MX99t++p1/3/tvzGj+KyJ/Pn6/hH2/m159fb/h8TeuPn390qIt7
1LBGq4aD0/tEOeU9rHcI7ZbU5Prjest6Ma8f//qjzSabNXdMU0YHQzFKFJIq06zwkkjMzEGuTehM
SfxMSRAtlUhar/BijJzHviln+XPJ+4wJlddZG/9UlW0Q47NuU3v5U5+Qc6s5eUFQ8C2XEFycTd/r
Qne26UB8fvQY1iFMNgR6/RoO3l3amaSQO5fKbFu+mwmnq1AQruDaiD8b0WEoiwsHfEJ5Es9LSwFN
Q8ggzw5Eeg3xNZwmZOT6TAn4zdPjKIG/iDGTJDcZfnZpzAJX2GC31m4yz0bSRWDQDFs6kfr0PJbs
RgeJFSa+V210goYSOGwkeljQ/iWJ2EkksSOb6CY/ADjcKYksJmQX+bcRSSbNCNfrHgLlvMtSbFd6
X1JHBHiy9QbtUKxxSAlGmiQkY4lKRhQy2Xw/bDBpRVttnRmGBD6XjbPGLCVwmTKNoNYIpoQxcUZt
sO21N5nkNCWw2Ul0k+n7L8sa5rTOmeXdRVGHe6TXi5sc+bJPZPXYCiOibM1bp6HxmVfZlyzU0ewS
GzXy6Ufq1M+m3Q4MSJlPKejiAOkr4OfiaZHwaU0KtZE4KpoNrQxfwqAGyE1GryK3WpJfxdK6bSXQ
SnhyVVtb9xC3QdVQwGGkrZ9r0rvWdONLxldzS2RUNOkqnT0jVmOJ0Lb1USNR20q0liP2JZOwLcld
YreMyTkSxFUkcpd0+iNp8qfCK7Wr6bOXlPBuTYoXXKF+mr2GibKJLxiB6nETwgOWaZZSOacpJuUH
EAvHHlM8qcPhPQYz4cwHl0z8aWhSuFRZSSyvX+YbY0pNanMxGaEh5eyGuRRc2q+GBJOXVd8J6iCf
8GiZ3UDogFwiMlgw+hTjW0k4F5J1Xgg9Y4E+59Ob7aQ/3Iq+wNSqnWOnTyU6+1swlEjA6P1VY+Pv
GyLVKdFqy4tvc8KBdEeeeo7zN4oQdkkYW+k3vmSzExtDhDEyYWczPacROs6dtymNm/uRgZc6hrRY
dzTx18w3K72FEHgsafChcsmFt/WdJknxSjLjiaTHPWLkSvLkAcFyRcDcImjOIH8Ei4SJkEFS6L3k
0eepZG7GZteaLvmPxWZkx6zJr2PTWSTPXkuyvSHiPhQ9iPsRBrrFbJOk4HXi8I7k4iF73mBuN0lj
+dF5NOZ9mYJWZtiWHRbjmF32Ng9axsquBg5oWuc5nAHVZjp6GEnlSz4/ccmzVbBvPBpncfitcOnG
W5xs7KPJ37Na75Hy1HtYRvOdevHSXKaCdzo7RKBDzE0tC2PlnT+MO2dK74bONoHewBNIAQs0ivWg
sRi3msdQ/uSxKU+E4xbOL2nKVq+cbO3TNHgdXVoToJpvDb0rTr3ZfOU7hJ+wZJjSymg8k1OkU4m5
kQO081Xz+fwm8B+7us5MIQqFcJLpQE7Zre9WDC3lwF6qwX42OUMF/VKWR5QdycbUGkaiAv/n2DEF
wissmT/0LiyHvkNd3FTySSdkM3a2D7I5IR49u9G7AvbAUox5XOE/2Asjn+l1Ei6EEkLEDCoiFWaE
LvQINIxMQbAqWoQskYOYUMKa6BgAS4FPkJlP+AfAo3CFTFELoyIUWsUCtmISfsUAyCJTarzhg+yE
cJH37zHAC/K9PjYAGBit0DACsBiz81CtlAzhZaQrOUMYGrH72C+08Syha/RgNlrhbQSAN2Y9nxnQ
1K2DbTAWKHQOdT8Kq6OoN56wOxJGsiL2h5tYuB62ED7MtmA+jpZyKPQP1kVHnBblwXA+BvAgpnBC
stJ6caAaeSH/4QWUiL8yRYQuAk7n2RTeyCTkEVMYJMr6xgamDvmQvGbsODez8EoywCUxZ9WLkEzq
EaYJOfVDIcgToZ3Mwj1Be0mSQlAomf4ESGX5WjK0AF6R6WPhpmgAVFpAKqSsdzVglUEIKx6olUaY
KxCQfYbR4LCMQmSxQbNMwmgJhdZSCbdFB+AyCsllAOliCNslEcpLLbyXGfDLIASYRlgwhVBhwIxc
6JQ5BwoTDyStn1MAMhUgGXDtP4cy+2kMXcxwxHR0FgJnBvAZ6LJMDAiPJrFpAiV17Nyk03BthFpj
C78mokHUO+W7K2SbRRg3GBS2LtCbLnZQkwukrN2zg0lqUM0jRGYiO8YX0wHSHAiuWQm4uewgOq/3
WC/WXzNBPetuPOHjBP+8Pkweb/DB/OELJBoCvPbUCzgagpl3iDJg0sDM/1yfoxtnussAp5sG9LQt
EOqR0Pf9LGDqRZ6j9B+VIKtdgVdXgrGeBGidC9raEsi1gna9PpcnAGxPUNimQLFZihWHQUDZqSCz
EZx884S3bQpNOwGrrQlg2xfUNmWX8Yq9Y9oGgJU+oEbt17vy0dMZFFw34bWZ1RsI71hg3i3NYeAV
8mzqmgrw2xT0d05+8V4XHDgBZMZXBBEewgp35J469HAlGPFZgOKToMVHgYxHGYeMWsDjCwTyUdDv
k0DJZ8GTc8pzmVg172ZBlyuBmOuCM1/vptvvll3b32dBnlsCP58Fg+4IEH0UNDrtuLf1ng7U9FTw
6cMKUhekOsPnwNW3maDWDYGuE2zfVvQ+f/gCZCc0mT4HhBMPOC/No0dA/dFuQLiv78VmMLIVvPsk
oPdWkO+DwN9dwcArHSB8Dxl+/YAMWPEcrpr3XPDxbAcjcjuQ8o7A5SvBzFfw5te71i5UH1tg9LVg
6V0B1JeCqs8toPXrXTCmkYEAaK8J2t4XyH0guHtNwPfNisCHhb/eNRqip1Ew+ZUA81tB5xcC0W8F
p1+4gPV7CPufH6RA90vB7xsC4vcFyY+9U3+ChY7sVP57I3ynWhD+Q8RzOB1Y/0EA/6BEQP3PQP9j
HT/AaL9rqw5AxACNavVbRO/9nSnagPUOpXZpRSiQilpAE8mAEt3AzGvchCKSCCrWl6PxvRA5gS2a
glmEBUrUBesz0GYXpQGp23Sbi+YgFOHBKOqDRiQIjLV9vhTRIww9ogRflAlGPXTbQjwLnggVUL2u
9+KUz9n0/K27SvQL6x10UTLM2tP6elyRNZSibYAN2t8GHSqHUaQOCrvD5wsS4UMl6oe5RgKhiw6i
7BFDePyz1ntQh2jJMKCPYOfpXOJVKSFyiQ7LxPpXHBFPsOg07nOW01Ba0FLEIqiI+Vauz9GJvIIP
KH6IfIQWheyaZHH/1cV2sd5jEQGGKSqMTKQYi+gxJKj/tcSYsf6VUCQaZuUeE9FqJCLYUKLa4Ms0
f0mxb6zP04uQo/Hc7NERSUfEMXfvirhDYfBYnwdOJDM0ovfoTEQfsyg/HJF/cHpwXu+RiRgkYZN4
XBpGqk3RhqTMQg0iEqkwijiiFklEMuKIbqQR8YiDgWQUrQsbj049AD2JL6ISfVWWyAN0LCbUJZ3X
XMQmZGv7fSiyE6O7rA80RYPSU9c4czzPd6B5GOHFlrLeWItAJRGVyihSlalGr+LJs6YYV0ZRr6Qt
EhZHdCyViFnckZMbRC39hLJlEHlLIBoXkwLf+vJ1l9EpylrWtRTtiyECmPUJlZo++lUOI5qYRIQx
6/UlDpm8QyZTi1ZmEcHMKKqZBZrk+hIr0dCAcjFuU1HTkBxiWlZeoiviGjq5/mOSIrNRorX5vAHT
jSnKG1/kN6VocEiWZ190zDjrUyqR5fiizdFEoNOLSidwWaRpotepRbTTdA2JB5HvLP2Ihkfe+0R+
hTLP8laJrKcVbU86BcvXGpOPQc+PkDbnP65ofqa6Nc8wIornAQfQ56sSLVAogiBdVEG+SIPWGzo8
QpkIhdRCHAnlFGtc0Q0RA1hf7SAiokaURLHIiSCzUCPGV/T56YjCqI2QGaWiNXJEcLQ+a4vzaBT5
EaHy/Axub/z8B+baxeRA/+HDp9hbok/SRaTkY1Ra36QmkqX1KzaIeGn92s0iYzLTg46baRJJU2Sg
awpsqHsWpwR9yOxjVTOR1Q95fWpT90Mz0vpYWE5zreKIU5PSUgfXrrxrnQHz8L15YU+oOKoOT4Hu
VKfUs/qbUWexSvz/MOp2fNMGAM448/PvUwIPc9/a1wrGpe7XAfSOAUjh8t2dIb2Yic2M5ugiD+9G
extM7ryl/fLh+TXtGQPmWTH6DGn7wSlJRyZbw8Y6T4oxo5I1YOL13tWzWFVH9gCYLKHxtpjqWcvt
D8oYxzz1nbfBjKONaSp1HNze3Mce22jn1NMuVu1wXvqsuYSQ8z4vIonhetST5J9WniGo0ZRff5yk
tz8o89JODHWtsdZf1//z/dY7rxdrIPHz14HcWVQul/Vh6xOs1y9rj3/98deV7MaxsqO4JBsmCetu
DUErAoA2bjOldZQL/G6+8lwYiF0t36ExfIPiSv1F9GixiNIqv39L4i+FCNRaryCs44pebbDRVMtF
Nuic69aKc35RzBkiZMNHyIera1vHB1rk8xHtc/RtvT6fVq5/JWo3IkT1Tg35wEEA8Zuv7j0Rwa13
UCKHWz0AxT+MANlFpzh1tCbzOcuZzhTFXK//rFbnXCwOuvViDhoALwGQXJHUBdjqUOSRBmjUl0RE
dsSBMzNkiMjDcGc7zX3hWbcejMnD+vGwlXU7MwODUmWwVl2x5aWNel3fHNXR+kxCptBrKTlWCxbB
75k49zSx75Ve8moohp66rn/RxdD3KwnfrAK/FIhUIk6/NTG/3lqK8U9SwvHAVFHJjGosVsASPSAn
ClHdW5v1hcUWOceqZhVX5QX/QkB2wGIYfW3bly7jaqsDIFGEalchJbSRExZICjW09Ls1wr1GVNfw
ahVx4K3EbxiK6TAU5yHVK+h18v34fHZHpq3W34vECDbp5Aw3sd0zX5wS7Qmz42IM5S5iV0WLBefi
Qtd664qHMV2NjIsncTOcvKpvHwfxNuoxjVRw5yAoOu/W1Wb0jknmkZ5hrBGQMfbHpR3fEptJffFC
VmKIZLFo9+QeYxEtG4KPbhWTyZNKGPj2J+Mmld5eXTMLbaTmDH/Gcs/aFP4xdt2P1AuLjT+0Ge01
685WZX1oK/c+X4DhmtP4tg5vrqzqFd+9/tSuAzTQN0qAiHgd+8xdjmVLQjIJ3GuILoyxsAetauIL
83ycH6a1fxp46LUbwcPmXWDv20ZjnZ469i71EgIeRjIcQq89doM7RjfAGAloZ0ywGyrYWcoY7jRA
sKdoUW+9M4B7Ta38UnZ2/bTMTbZN5si9Om5l7VNLA6I1xM6GJqSHkie0zmowrHM4MUU/E4NBQsHS
mEMDqFPNOjBNUN77g7MvGwrE0KUrvW4SeJ0vkT2GD1kVpDsrz6udo+fLk1ZSZeTvYJgcqNlmMUlL
Y6bDkToNuanRMI51kTOUbQfXua89EpvQOT61vENDPLqzsksqguD1AiraQ9DpAEMr8/bf5eMzzSg3
OKFa3o72R5QlryheSHdZTXjWquHNjbVdl000GyiIeJI0B33dnT31ATra2M+T+RBbsAy8jshY4afH
2GKhg4cQNaLtkNwZ44wPyDTaw2hVt0U/m+dfF5XLjMDC/OyNBjggjMkflhU5qNj1/+Y8FtPwpHI8
zLVifjxJCdHKBSWn4Zx4b0GlJrBZNTn8nuH9Mnf2uQmpcr2q/MdPKkiZw/CctwUaLVXFaUYHa5Ah
B6TUnc0Z54juTV+ijJ441ZqHwkiAsdhRjbMyTCkHr3rY9XsumBdi/5r4aBzNgoy76CDCs/niFNNt
lhKT1M2QkyOPw2iTB8Pnxfqr+HkwtsgtUBf5P6O8GOWdrBeFpTnbsARlMTlxyPQZF3hy8l1RDswR
6yi6S2Z0K6W/BC17+TjkJawXPtbmz5/Cf/zEk1lQVenlZ2k/nns8jOf1J3sKf/91vUHH1lKkLsm0
v7qDs6Z4jWwzhdIJuX29KBokrCFnbJ+/rtf5GaGPNMYJrzWi87EY241Bnd/EvkcAznJfh4hQUbjA
TvfloZnJriS2lmoDRnoCoeNNsExZSRp1fUEvxFQuLNtiS9eN0qjPvt3UR8rQtEDN/TJWb7ZaKNTY
+mPYlxbnEnV1GQ1SEf3M/iKSHqzW94w7tNIo5bNaL1zO1m8qPSk+P5KhwC9u5AFVSvlWrO8kA0N2
CFmu69qxhMSwn5Lsmz446cVRSHFn0EDrpPnnzDlb57aiZkgjJHygvAbJb7Hy3YqQcGzIAQy6gKUM
RkbKl0A/p2kRnTIQCCyR2GkXHpuaWeqMU6+/BwMh2HDIT+aYlludqtrGRg5TNAED1q3ExAk/Uyvg
yz6YFggHj1HQOBxePqfnZVtZdwe/qA7rT+t1kcsXMegbOq5iNe+rYFczbXBNlwJSYNzGGICy8pZe
ITlFZplvtNgHBKtH08Er9J7uLosxs7JfcCw3e0xK/v3kmvuBZe43ejDFtkB9RWG6Rz0YhuNpbDSI
s6FxHaZkoAQccb0VHVETZrcWUzyie9onU9x8BIUJijlsXwoHU6mvoDZkz7ETTE9ltxD5YMagsjR1
ToGUQQ+kt2TTEke4JDbnJJrvx6YmtNxrJQBulxwQIzvNrjNH2jS5iqnFms6t4VSHInPjhwI+L/JT
syCDVkSUlFNZrsD1ZOJlfDSp8O4mv8HOnI/jo+c4LKMMPTzG7rw3F618KKCkz65rPYR+U27MgNYN
FFDS7Vr9BZUX0o5G9tYplAUnU9mtwZzYjTFb1d41c1CqdbTQnfHNrSqi4CVX6Y9WD+vr+hu1eE4B
K3YqkEiJjAWOTTYMKbfmGR+Drbk7yzaYvjCL5H2CULpe79WKLoIZGyfXytq3tmDouUqdp2CsvrZz
hBE9s6gpNb17NGcGYMyFTJ7utO82ff5TnRhCPi6798pYnO0UlTSF5FY/IwTk5CTR66CEDRfNpKyN
WDvpMANJwc3tu+eGZ07ng++NTSjKtZYd6GNyW3ofU8rZJ8U4PfV3mZt29+uF1dUJwxNTcEqbjEmJ
ujK+9VrL8EBBXmgIBxYGnHh0MF4eBtrtrD3eml7z38AfJsdyzK40UoadVsXmQyQ/zclS7OJkqo6t
TciXVn127gCZP8Z5C/IX7CHR5bnaMvvV81F3zQZawQyrVGfMDWAhBCv2QPkwtyc9dsxjV+ZQmwed
THtdvwUqo7eRdBTbbKLVpsXQme/bCs343AM3yJLvKnoOMnWMakt/m/zkDBQs3qRu1Lx45pSfykm1
Gya4qCfrdx02UV6EV5C4J/0V2N3C2N/UX2FHkbnIyDPmacahMOi7x7Yphgsi7/CnlUHT7zpGiXZG
N5zGtqnfWhoc5BPye3tJGfqaCOkH5ROdKfMlia3+xU3YNZAIS+Y+hdc5dPcl78L15uLYW315u27p
ievDECz33gyld+Yx/Nc41JVPeZkPV8tE9Cu/GR5De5re0LnxoFJbEEOscInvj9qU2+/elB/apSq+
A1ydN6FKozuVT1+bqZ5vaYtS+3Ys7+T5jvnoyMWiyLam1NEL3YYHwqpvg5md95zm/QOzT5uB0Qpo
4+24TUJ3frSQiZ1ULIRmK2MSn2GRcqahbYace4aqtL6YFCthCxK6rI34u09kUgvbG/raw1fmrlxg
Dp2DPC6qyDNRtnAb/yOSUgKlyvqWBhGmhiJw9zUONFof8/yHn7s7f4mXr0GgmIjK42Ib+dawrfWq
22v23D/3RcMetFmSPyZAG37tuT+1FGb5XlNjdOD0zMe71e/YkcVfGYCM9oUfF+dx0IPHgZz24kzv
RhBZr42jJzQQORCYsW6+Ohi6P39db6XDSZPU4VSx6sLm2Z3YOU+z/QWS8HJowoiRFfm1aacvqjUk
SD3+2Tn6QuCLnJ8K8vuZYYCLn2IUsWwqwI6LnIGqJZ7TNqJXmszUTSjv6u4fQUH7nhGP+MUOaQTQ
JZmPEQGRp8XQpQ1DBNS2lvGlPDhOZP+p9+o7ahAkfQR00HxMxX0ecZaUBKV2U7QJfZw5S7+MSbtn
NjF9tZPpq55VKYHWzP9mdv5j45vNz9GtaM2E0CWW6kjxJySQC9TaqR12y1VOidTJRLQRdQRzXPcl
FCx5yhnBQfMWE2+7huxtUuN9khtf8yRaTvbS9VeU9BB20/oNBo5XpParct3xuWCbLy27v4ctS9B+
9o0TXyKS3o5f7Vo9K7ZDN/TgQ13nUqv+uWryF6Ox+l1qLR+QdMEL+Cbrmq5PnjqtM7btoLRjtNTq
ncd8yVqbLG7DhtHSKobVvRDo76lvzUHNEg1z0ftSTf6N3W2yznK/WHT4i/I0NbpxbzWEgyMAyY0d
DhRM46NFKelImSnZOO5oH0tV6nJ8rUBmZM4uNqnLWGHe4bjWWTAqc9rYWQgQpzS953aGkNtVpQss
0aKn51Teuc+G6ET1aAFJ4VzTTI+/xhH6jCXXvsd4SvcqJSdmRTP6HfbIf3TTD3sa6cGOVn21NBug
fauMuy4d3ibNFBBR4dymQ/fRtkb7nEd1fQ6lvun6rfPN/zpVdXToesd4GQ0zvwR9YTyVHDxv2Jvm
nPmW1uuyeN/S2thqcdXfuK6L2jw0oxMASmQlaZoeuoXCnF81/Uk5FvnWNmB11vv5gbYIBzE9mm8Z
laGukFTege5XdbUH4COOrV1ThrR39Ivrp7q12r3fVwB8P/+DPSBWKzJf3KJD6ArU9FuXpHumkbWD
M8b5ya/kU9Gt5yZLrJOe5fWlDunjGkTsLOVMT/EyaXdGrw7rb44LeIJjCrxoqK+VSzTrhubWFtyZ
9SNbqh+tA5Kl4L+P5pHYad5530ZGYmEAcCq28aC13vU9jQwCa6/dxOAFIRb7a6BewVTNt+4I4aMK
O3LPul1ccKrIKJF+6Yrl7xfw+Txt+EknAwFFyGChZnFqgdEHWNZ8m8OefE202btojM+BREiD+zkb
gnu2ypnhbwNGBjNbPycHcmEa28uRNlX6nAN0biFWtTMYoEjXnjsr4lvYdVRIXRN0dJldS4dVWDeV
8WYJ+3ifwSrfm3Fj3qyL6a4Y+kuYg8UZu+A5NzQGYJLkYSgYe5jcoLtjF+VV/l0+Auaq5R0y/6Rd
m5ATrGZEkf1a6DPcbpX6d13vFawrlPPWxvGhCAjho3msTzSNIR03UJSTksf2ThOcebrXTB/fExZV
b+YUWfiOyt0UNvVX6Tyi6G3KrZ2O7m7uZs7QChoIvBtgGPWobnrqC2cNC/HBqcs/qPCCxUlM+CiR
v88oj23rLtUPgw+owIFTfdO73bm0m+7NhbqSRAUYetlMVFcC4U+a6TGbne96XbiyhB8fGbEvLjan
9pswNpJtVHUHcOzyzsPXyJqYLmKO9Y9Qzii16egavomAyd5U/qNlEYlulVLffXFYDZAiqBfljAcZ
ycOipH8falskpsOrFqY7hL4Jh7qQitJSQdRg/weiK0tv6fM92x5dFjfRlntTS/LtyBD2MQqmcJ/T
+6CF330rRpLVQ1v8SY2GrprhFbcjGr2z6SZPjV8nW0x01dHxFZZ4ix324jr5xS4qWEBW5J00Pa+O
nW8YfPaADG8WbQRgYk4WjCV7W3tV/u6UOiUW6vVln3HMd/vgu87BQo+j4rn28E54nb61lRvcJ6bV
H2Dzq8tcJdGlMCL3YFT0U82BXparvhZVE9G8LfLL5BmHLug5hiXRF4iaIy84ZOobxIxRd9cktXY5
8lzS/JYqH8zUwTikZ/SfYDjVvG1elPUa9UvPfEP0WKeZseOlE+4P2X1BC9Sf2IDb6SbrRcBts/Cz
29t1VLwo43anJV22dRdlsF+JwwMRXHXg+MFY1GC2F6vp20udcJSv2vkUMYB/4IwjvDECM9/BSGw3
GbdcWn9qyd27d5rLTFbYj69Tm18bbNEnzk1AkNhAlJY0hpsGk80ruq9x36QP0+A0Fz3TrnlswsfI
MD1psx1fqXxhJMr1+DbLsWkUfXfB8XEy9EJ7CKPFuJkUm3JONey9BXCWlsNbH+2TPCG+Dj3vTmsW
49Q7McBzrioyaElwxDdmnc93GBpeokT3XpTeG4yXBu8qad3HpHlX02GidPKUola5IYlqHtQE7qm2
s51fUSfxjGMfV2ww9bJVVlseIo1TncI5mLQrPiyXjm9aOR+OOzRPac3evisK97veGBuriqLnbPZE
/EWMJko+0kEF+8ZxyyMq9+m9Zy4pLadgUxR2ftI0u3vOHL6wtD+OfhB17k3lRJT+Cqth2qV85tOg
KNX28YVJmJto/t4Psty1PqYIqkk6ge0Zl2A6J0l2OyvOc6rWx0BDsgKg/cAEeVYyYueZlyGeFoIf
fBLpPEzvBE9QDzBPQYPJm945Z2GQMmyfBtvamnWUPbKGgNxUtsHOrdz26FDAkNpBdF0vksnieUtD
bQPwba3dey/rRUZpdwbtMEKkfB8LhqEaBOCHxILpELkBERwNRCV+pGsXcji2AXQzkNdnx7yP9TPi
FnNbFF39QaXqobfCL5qjHVmLK06t2BWkA8tXf/Dzu/LDnNndpUOUME7lQwmincNASq4xtkV8d0Zb
xH92zl76hUZNwEpANUC7dNu4C2utoGJvs1ZPihctyCq4W95DGjG63bOgCTJtPidDB7C/buuLqcEG
TyKdGfLRtk49Q3tlbxjXuWOZWeVew7mJlh4YsnX4TrJum8b8cXDt/pqq4DZyEQ2YQ8WQWUHDWWOo
xfOYze7rpjjrFL6Djg0tU9bZzhLOrn16VBQxgye/68GSRR+d5QVvQ+WBluZ0hBnRCsvP5JT7Nxb5
JemWvLxnwGSnPHO8BZsKIOA+ipvs1YkTgPH6eG1M6QYCt7xvI9s7NX75xWhj4545lguBu+ZkDW75
+n+4O5PdtpEEDL9Ko+80WFVcgek+yNosS95kJ3FfCHdscGdx355+Pik5JN2TID1zCDAXIrYF2ayw
SlX/6hZiV4xVAiFThat4GkvAiiT+c5x2bbIZPBk8VsM0PEqaMWSdvsJjtQfDDpt7TsAY8AOfkqLA
AF7Itcbsk1QHd4B4NZtBoc3qoCBM4vyKxo23qSaygcWDLLEWt/n54lClsWjVeI0zKN/bKWFv7IHE
9TiOwGfahh4eTPsxatvbsLDyF19SR4aTPnbr8FiqObvsu1Q/09sNgePabwqanW57GrWUzS7e9jdV
4SW73NbiAExlHnKolgNyvHY31Ma+LapVARj17PYIa6s2iq91GLxvwYS3MHjAfaf4tyq4i+mvDSuV
Pwat7O6V4S3svIClZx+am7X50hm0NWQGnHEnTMRtsKZXdKUDGVW5emd6Kl7HkwH8n0JeSwe5wEhT
7nHIBVC917xSLf7knhLjaC6aOb425RpS21qfIr+FDPaN6L1j7paHKM1XgFY2/n9Asok40dhmpVsA
erB7M0O1lqA6t2NvhpwJmvdOo63b87eiqPFWhe7LrV1qMEM+NbOYLmc+VtPLthxANZFZ7idpf7SA
tC51Z7zPq5nQ2a4a7mIrHO+EXYZrMl+JN2g7RESwyYntofsfzewdJ74brErVso67dAsf4y5ahJdb
2HcF8hE6+0RWty4SiNaT4WHArvXQgmfgaDSeXIq158YmiSs0SR0xlHtwuvgagXP54NhMpsLQS2lQ
zCj9DFJkApwsAFW3noj8Dd5GSe6kfpJzxuSb87sKZ8rKsnzWWE88OXFcbQlDZcMgNFqGqdzCiiFG
pOh2pYM5PGSW//kS+zV5qcWc56xT5UueG871+WJQXEG8XNkDuZAciBwbGEFXR8T+4t7tNPE0MbET
ZZg55JtxDkUAEbNrHz3rfiITzKnb++R0qfJFZVgokNzKWbawqktBIeFgps+iQNo4TaJfOdMsdi27
lV1aqQQVp5GguSH5RuVJQWFMJ1b0ZJJdNpbyNq6pu8Dt1257A9hwGoxh00yju6pBUjHwFB7m8chb
09917ByiJoG0vWufro1lk8xE6jgUd8xpo/exUczHJiGAj3U3FLG36fOhfkQawkG+IXnKaJvX3EFm
Yk3RvCyHkTr3DLGG4zX5FpX6zi9PKpjipQny8DD1pxq1eepuh5iJGZhPqu/aQ5AivUoraVwZInyY
ZsO9GXXnPE4t8z3GKPbpXN3TbEkyMavYjAaurf/wq35+Hh3OoHagiN05fYlAZO9o8qxGIIKFqYto
J0dh3ZaKShVLzNZlYZcfVNOqu2F4HQbR3c1NiJVBowbqgGAPnCXXqXA1dqop43TqV0sPdQmlzcH7
xBr7dTqY5pWMuzsmGky+JCY46NCLOnXgbsTpUY00ERR4InZDXzWroD8R2HFgXY/ny3gD6kPiNtSq
XkTIebbobXdOKs2bfIjbZT0U73I5UHpReOrZqQj8mZVzT+K9h0jqSmvlvFphiK64S8aHwa327A78
7RATMZjoNHmCDvRv4pOc3FM18cPsrT3Ltx4K6tvKGkwvVdGOaNWoToKFGyRoIVXZbSjHhOOXxWtc
hRx54uYmSwb6gcKovxIAKju36xfKkv4DuunkUqSRtT1/idirX7pYc+9mT+zHskCz1lPAmnrMFWWY
B9TMegVSSvjYlJkHbfbkcA1kEuYJH4lChc1x7J5zQ8YP0m2ao2aLbITyuXBMYtAchiI0is//On/P
6L2aAhu1cVsD+SSmK2qt/QMwSv88E2a9ppgVYZOoL4uxpkg21CwZlAOuMaN2UIjh9AfA6FEN9XiM
q2YARk8xADgIlrshr2/tRhK3l83qcm56+8nyEGtO2mk/cEsQY3GiX7rWe6rD8D5mqm8iewZfNNu7
bsZ+As3Csb0NaDywo9H78+SSlYmLQjsKMyKp0DyZBeId0Ljg0WrQTsvI2blRNt4oE7NZFDcn54DO
rjDZ0iBrimCXrjNlDfsk6wtSZ4k+bgm8c7vS+dAntrvWrfM6uCC/ostQvkgEWFVmGg9AyLRyzUX6
jHDxfQg5eV3MvMXAaZxAReQJ2jfCe9ZP5PYpNr4MuREYJVRBVo3R8Xwx6PBZhLPv7ugkq5azSyTT
ULrx/nyJOwiOKlIvZwQ3QmcpSIhfll33Jlkir6rwrmX12qbG2G0T8Ff49N5bBQ40szKMlYZpQ14t
cEFiZETNLvINSqxqUQU5pG5PF1OFcIcDHvWkXuu2GzMxwJ8sw944cF9bG9j3MiVffVFFPkcgmMmt
9yceNP++BeC6bDIvJ6bYbVYsaepS0/NBBM21fYKHK2uQi7P18P+m7eXzjZzKWFbnJIX77q2eHt6a
Lmub3//1yQF4+ini8oLW0P/uRd9/o1/efiTDAR6KTIOvMhzOf9P5D/7eW2QvLeLX17ffflXWhfSV
lB4ORUtQ1CJ//SXTRfj5x4YQ4sJxLKg224ZHck8+bX7hF2P0rVH4/g1+Gs7vv+arO/iou6I9/TeE
sS6+7MSRFvEIPzIGf3mHL8bAv7BNtmo2Hk7PFpQ5fj0Gvn9hCsxL2Oddiy4d52eNwctrHhdLDhx1
/LH9cgyU9fcioX/8JPgXJ7eqZxIvwdNg2dhV//YkuJ6U7LYdmoF+zmPwzSH4D3km/3gE3AtpW47j
C4+JpcTpJr8eAf+CKSAx4Ntk4VkKT/VPmQvfHIRTCMH/vCLwHNgOW30hme0uTVF/HQXngsVA+bZt
fuqI+uFB+IFVgwX29KqP2dtL/fu/AQAA//8=</cx:binary>
              </cx:geoCache>
            </cx:geography>
          </cx:layoutPr>
          <cx:valueColors>
            <cx:minColor>
              <a:srgbClr val="F99595"/>
            </cx:minColor>
            <cx:maxColor>
              <a:srgbClr val="E80E0E"/>
            </cx:maxColor>
          </cx:valueColors>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_xlchart.v1.5</cx:f>
      </cx:numDim>
    </cx:data>
  </cx:chartData>
  <cx:chart>
    <cx:plotArea>
      <cx:plotAreaRegion>
        <cx:plotSurface>
          <cx:spPr>
            <a:noFill/>
            <a:ln>
              <a:noFill/>
            </a:ln>
          </cx:spPr>
        </cx:plotSurface>
        <cx:series layoutId="waterfall" uniqueId="{4DD846B9-191A-4D1A-A414-108EA6AB179A}">
          <cx:spPr>
            <a:gradFill flip="none" rotWithShape="1">
              <a:gsLst>
                <a:gs pos="15000">
                  <a:schemeClr val="bg1">
                    <a:alpha val="50000"/>
                  </a:schemeClr>
                </a:gs>
                <a:gs pos="100000">
                  <a:srgbClr val="3B10A8">
                    <a:alpha val="50000"/>
                  </a:srgbClr>
                </a:gs>
              </a:gsLst>
              <a:lin ang="7200000" scaled="0"/>
              <a:tileRect/>
            </a:gradFill>
            <a:effectLst>
              <a:glow rad="38100">
                <a:srgbClr val="1A046C">
                  <a:alpha val="34000"/>
                </a:srgbClr>
              </a:glow>
              <a:outerShdw blurRad="50800" dist="50800" dir="5400000" algn="ctr" rotWithShape="0">
                <a:schemeClr val="accent1">
                  <a:alpha val="22000"/>
                </a:schemeClr>
              </a:outerShdw>
              <a:softEdge rad="38100"/>
            </a:effectLst>
          </cx:spPr>
          <cx:dataPt idx="3">
            <cx:spPr>
              <a:gradFill>
                <a:gsLst>
                  <a:gs pos="0">
                    <a:srgbClr val="FF0000">
                      <a:alpha val="50000"/>
                    </a:srgbClr>
                  </a:gs>
                  <a:gs pos="100000">
                    <a:srgbClr val="3B10A8">
                      <a:alpha val="50000"/>
                    </a:srgbClr>
                  </a:gs>
                </a:gsLst>
                <a:lin ang="7200000" scaled="0"/>
              </a:gradFill>
              <a:ln w="13970">
                <a:solidFill>
                  <a:sysClr val="window" lastClr="FFFFFF"/>
                </a:solidFill>
              </a:ln>
            </cx:spPr>
          </cx:dataPt>
          <cx:dataLabels pos="ctr">
            <cx:spPr>
              <a:noFill/>
            </cx:spPr>
            <cx:txPr>
              <a:bodyPr spcFirstLastPara="1" vertOverflow="ellipsis" horzOverflow="overflow" wrap="square" lIns="0" tIns="0" rIns="0" bIns="0" anchor="ctr" anchorCtr="1"/>
              <a:lstStyle/>
              <a:p>
                <a:pPr algn="ctr" rtl="0">
                  <a:defRPr sz="1200">
                    <a:solidFill>
                      <a:schemeClr val="bg1"/>
                    </a:solidFill>
                  </a:defRPr>
                </a:pPr>
                <a:endParaRPr lang="en-US" sz="1200" b="0" i="0" u="none" strike="noStrike" baseline="0">
                  <a:solidFill>
                    <a:schemeClr val="bg1"/>
                  </a:solidFill>
                  <a:latin typeface="Calibri" panose="020F0502020204030204"/>
                </a:endParaRPr>
              </a:p>
            </cx:txPr>
            <cx:visibility seriesName="0" categoryName="0" value="1"/>
            <cx:separator>, </cx:separator>
          </cx:dataLabels>
          <cx:dataId val="0"/>
          <cx:layoutPr>
            <cx:visibility connectorLines="1"/>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sz="1200">
                <a:solidFill>
                  <a:schemeClr val="bg1"/>
                </a:solidFill>
              </a:defRPr>
            </a:pPr>
            <a:endParaRPr lang="en-US" sz="1200" b="0" i="0" u="none" strike="noStrike" baseline="0">
              <a:solidFill>
                <a:schemeClr val="bg1"/>
              </a:solidFill>
              <a:latin typeface="Calibri" panose="020F0502020204030204"/>
            </a:endParaRPr>
          </a:p>
        </cx:txPr>
      </cx:axis>
      <cx:axis id="1" hidden="1">
        <cx:valScaling/>
        <cx:tickLabels/>
      </cx:axis>
    </cx:plotArea>
  </cx:chart>
  <cx:spPr>
    <a:noFill/>
    <a:ln>
      <a:noFill/>
    </a:ln>
  </cx:spPr>
  <cx:clrMapOvr bg1="lt1" tx1="dk1" bg2="lt2" tx2="dk2" accent1="accent1" accent2="accent2" accent3="accent3" accent4="accent4" accent5="accent5" accent6="accent6" hlink="hlink" folHlink="folHlink"/>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_xlchart.v5.9</cx:f>
        <cx:nf dir="row">_xlchart.v5.7</cx:nf>
      </cx:strDim>
      <cx:numDim type="colorVal">
        <cx:f dir="row">_xlchart.v5.8</cx:f>
        <cx:nf dir="row">_xlchart.v5.6</cx:nf>
      </cx:numDim>
    </cx:data>
  </cx:chartData>
  <cx:chart>
    <cx:title pos="t" align="ctr" overlay="0">
      <cx:tx>
        <cx:txData>
          <cx:v>Total Sales Map</cx:v>
        </cx:txData>
      </cx:tx>
      <cx:txPr>
        <a:bodyPr spcFirstLastPara="1" vertOverflow="ellipsis" horzOverflow="overflow" wrap="square" lIns="0" tIns="0" rIns="0" bIns="0" anchor="ctr" anchorCtr="1"/>
        <a:lstStyle/>
        <a:p>
          <a:pPr algn="ctr" rtl="0">
            <a:defRPr/>
          </a:pPr>
          <a:r>
            <a:rPr lang="en-US" sz="1400" b="0" i="0" u="none" strike="noStrike" baseline="0">
              <a:solidFill>
                <a:schemeClr val="tx1"/>
              </a:solidFill>
              <a:latin typeface="Calibri" panose="020F0502020204030204"/>
            </a:rPr>
            <a:t>Total Sales Map</a:t>
          </a:r>
        </a:p>
      </cx:txPr>
    </cx:title>
    <cx:plotArea>
      <cx:plotAreaRegion>
        <cx:plotSurface>
          <cx:spPr>
            <a:solidFill>
              <a:schemeClr val="bg1">
                <a:lumMod val="85000"/>
              </a:schemeClr>
            </a:solidFill>
          </cx:spPr>
        </cx:plotSurface>
        <cx:series layoutId="regionMap" uniqueId="{D25934FD-9B0F-4040-A4A3-1547BEDE1E7A}">
          <cx:tx>
            <cx:txData>
              <cx:f>_xlchart.v5.6</cx:f>
              <cx:v>Sales</cx:v>
            </cx:txData>
          </cx:tx>
          <cx:dataLabels>
            <cx:visibility seriesName="0" categoryName="0" value="1"/>
          </cx:dataLabels>
          <cx:dataId val="0"/>
          <cx:layoutPr>
            <cx:geography viewedRegionType="dataOnly" cultureLanguage="en-US" cultureRegion="US" attribution="Powered by Bing">
              <cx:geoCache provider="{E9337A44-BEBE-4D9F-B70C-5C5E7DAFC167}">
                <cx:binary>1HpZc9w4su5f6fDzpRsgAQKcmD4RQ9aqWrRZXvTCUMs2AW7gApIgf/1NomSVpPZxz42YuBHzgkJ+
mQmiCAK54Z+P5h+P+beH5jdT5GX7j0fzxzuhdfWP339vH8W34qF9X8jHRrXqu37/qIrf1ffv8vHb
71+bh0GWye8uwuT3R/HQ6G/m3f/8E0ZLvqm9enzQUpXX3bdmvPnWdrluf8H7Keu3h6+FLBey1Y18
1PiPd3f6Qbz77VuppR4/jNW3P969knj32+9vx/nLM3/LYVq6+wq6XvDecz3GEaIBx4RQ791vuSqT
J7aDMX7vM+66rk99l/548PGhAOW/m4qdyMPXr823toX/YX9/aL2aNIAf3v32qLpSzy8qgXcGUCn1
t6+/3eoH/a1995tsVXQSiNQ887tb+1d/f/2q/+efbwD482+QF6vx9k39Hesvi/GvRk6qfPjxWv4D
60Heu4HnurAWAcEE+e5P1sMnNPApZT5mOPjx7NOS/BsT+vmqPCu+WZh/3f9XLkz0kMvvqinlf3Jt
2HuXEt8PMA9go+B5O7zeK8F7WBKXBYi6zCMef702/96cfr48L3XfrFD0r//KFTp+6x++/idXB04y
6hMSYBd2BXN9/+3q+O9h03gBpYhxu3inQ/S0cf5+Oj9fmB96bxbl+PG/YlF+feS+NDKvJP/fjQxF
HqXUDRinGAzJ66UJgvcIcw+5AWaEI+K/OdTeWIL/fVo/X6I36q/+yf8nM/O/m6Bn47x40A9La9Vf
WKFfc+3fBT/jjeor5+DVv/1xHm2//vHOJeTFMs5DPOk92fbX1vf0zp/1vj20+o93ju+/DxjyAhaQ
wMWcwYE4fJs5cAq+BwPGAp/BorvBvKKlarT44x3DsE8J83wPjNx8hLaqm3HM34Phozj4sYHZsx91
pfIxUeXzy3iifyu74krJUrfgx2D4N9VJbp4l8TmMjgIfey7zA4+7cBhXjw834KyBOP4/OU6bEg8Z
/VZ76kBL5N2ZOncXlZiCNe59924gtbsopiZYWy7iDj5x3ab0Ttw8z564P9O1Q1nhn+ni4EEmSiyS
vqp3tuF5XlfhmQ7MWO/Y3LzB0mSqfgg67d4vtdkkZGr25yavgpekJIWzU9kmqAPvU1Llxd7zgyRy
ZrIeS7QcBsHWrl+TTy7TX7NSD5eJmUIsxFKxJl1l0zDe06qOSo2DT31iVjRItY5DxCayyOMp3o1j
He9sz6+CeFfGid+EZzqLsXfR92mYjShZEhaPoW68NFnwYcI7k2NWrzDheGdp4XeXjorRn1Um082Y
knKfTkLt87kRsWFRjioSvWFY0ja+bNQ+qzKnDW232gTJkO0tLzfGWSbCpMskGfuV8SZ+TNumXyVV
zI9i7k3GmLAJqFpUeK1ar/0YoNq50rnK1pkjVGiqXh37uYmdDBpWjyGtyiHUeki6KiSFXyyqOgnW
ntZHnOjpmFQOucVKtku3j5NVYxp6K5JqOCRVe1cXRbxAAtH+JsvS9sKIiPm0velQrm/gf/SbUkp5
wixj3ithINNka0l/cpObXynZgXLab7xGqe1gPFWHVHbjbuDZy8ZilcvMC4bFelLdPa05945j2m8I
HvLLxpPiNo4dum6Jj6OG+OLWtCMO+6E1i9Qd9LrOtLfD2O0uKjb0G45reaQm9Zcln9SNa7gXUScT
n7KcleFggn5XlTVaKNfkUTq06Ufby5977eDIE3buMfCZN2ku/CXOGxlhVtJ1IOJORJYeyp6ukyJI
Nj0eu0U/iTp02kHcMpOVm6np601iEL+p2r4Je6dIvwozLHUtinsdj3ghiCMPVLvxPvEysoj1GK9U
R2hYVHGCQw/CpxA+erWqclcdxSjUEbFGHce5qdlAQxM01coyGj4KDPsGOI7QNOR19cg6c6jj/N5N
i0FEVVA7FzNZln0vIsUm58Lr1D1sT/hDz2RTkua6nbbYm4rdRLVXhyQjeJeWeZYsdKb00hum5gSe
+GmL//SrQmxYQeVSCcePut5J+Zo6j44uzCFjsXcsTBDxlOXTxz4f8hDVMuFlyBOdh5hWY5jQbLwK
JmpOTUkWoCFfIonhoaqbaR0TEDW5iQxxx3XOEnmtYuWG7tgUj3JINibtzCfaNkdW1utsPkdsA6de
vKPzOWLJwh4mZxoW8DKeShmyBqd73ePiIBrCFmBups9JjPZ+6/pfhZxuyUTlp4IHwxLRON2rqSkO
MgieRPty2qekUJ9emMKfWBeMISx+ZV0CFLgkAH8zmOMBF83W54V1YbiQnfAF/5b5Mt/KIEvz0A1k
deFUvrrQmQu07b6l34q+oP/SfavbjlMWOdqQJfEmdNfVyU1NR3NZSJneqSGKi7aIYjXGy3xeZttg
fyJwhhXZvsz1CS9cJbzQcvmsYZwmXlq5s9qzxhmn7pR4odX4+2fUZXOoy6G8HXmThW2vhmvpNs0+
9kW6oL6uHpKsv0iMl3wsAkduCY+LVdLw6qHfaZlkD22h2hUkV/jGz7P2o+MU2yLNwmHStyaZyivH
1/SmEN0hGVn3eaRUbCbfJ0vMdPe57OsiLJpWXBa0TTZNwnCEG1yEQTOK+z5ux6hAyOz7ko+3RVZf
sRlvuRFLVEzxtpa0/DR1KLJ4F6RsNerUXcdFJu6xvhxGwz7HY+ls+q4hSwsnPdnqtJJ3ScD1TpMp
W8RDIu89N138zdfHwV9+/fUx5sGJBxGmBx4OfIqvv74p9XjrI19+TXHmZTIC05WibLonaPKjYXTB
Z6hi76abOJhyNd6jPPAjJ9HtfmpH70YkzqcRNuwKDypdjHmc7RsPZfuiap56FnN4cZWVU7J5g1tZ
0/mmDa3cmZ369VXjNfDGfzKcxVCbrivRXTNK1NJ03bBHuqD7rOHpslBT8ln76SWbNzeN6VXtE/TJ
irqCPIn2k/tCVLGcfVWOd5VWBf7kx6Na4gqLRSN0QkToEGeqyiveDVvYkqshJWkSzj2UkywJk048
9V5z38o5Rq5MpkDjtZziLb5wm45EvAzQ3hmnl01Q4W3q+c32DX6WzeIK7S3pU7XXpog3MhvHLjyL
nHUtRlV56Q652VhVy7T4W7UiQDdO5g4Lo7JVPOXjBzCeaYQ5bj77o5ah1Hz4M6n0YcoSkYRppkMp
nU6GhaxCTYPmBsuiiRxa3uHUpJeuQO7dMzUFiXcnZX3n9kV6iWdq5lnKBUt1lvy39Kb5Cc+jnJ+X
wBMs9cw7P2/mnannmdEyZ9uskl2YYikOvEpIZKirFgUjycFitnduMstIchL52DzJ/UxYmDje/Hon
U8hJvNzIEDt5c5jkuhSCX+6xNxu56kbF4OvlX50kx9QJKa7dpQ0pFF7nnet8sESWbQZaOR8q6atb
OT70BdvFbZocfL8Bf+KZrGIE/kQ6xCduIFlzHSTjAsFJRafa3XskTzZthdw9nXvejNmexc5cVcXO
+ixne4McbnA5yf3AAvBeiWtWum7ay2xKnhrLUF1gIJz4gVmRCY7nyDIqmhsaNrMenkE7jJW2gkE2
BuGv3zFjf33HHuEQA/qQU50zQ68PSyOk44rGc77KFN3qqeHXnKXpoc3iPrKnJrhdj13p8WtwL+Wh
fsY54O0z3k9yiFTtjrOb9miYDF7IW9xL2GMeP8gmuAl0PnUhHKB4Hz+fDKfejKGprZep9EkYiBaB
4HxwWLZt7I62PSsIHggJfY/AiBY8Dc5xXEb1JNDCURB41HlWhWUflLt6DjwK5aG1QJ5cWBKVPL/W
OD1Rapbw4qQKpSnUTtL7SecRj0e6y2vdXg7uUEVaZsVjDUuUxr65LyAUWZ4lfPo1phdtz/0t87ws
1NiHD+9MV97feFz+X1cRUkMQH7qQeoVyBJt30guHK6G9dJAR3lda6iRqpcT77rnxWwlv0dJaE/AO
q2TpadlenKG6hO2Vy95bTpKSoyMzcszaPEw90R7I2JGjOzcWlynJl8GISfSGYbkmyCGydeVSd4Gj
t2qSLD8i1acL6RafayPxliraXramay+9uTfjivjj5iSbpSS7JF2260nv3k2uCq4Yk7tmqLw7Lxv5
1cyrEX/Ba2eKkOGDUvm4VK5Tb9uhSne2lw7jUy9/7p25514ysHSXuW2z/vUO4385xajrE04pn2tE
LvXe7DDtS5SOWRk/ZmO5wJj5KuymGmIWBIGLj3mxs2RNYxzSJp0WagIvObTsN4IpF4xFJ3ErZOYx
rORZ3A5pSTskr+hl7nrFSqZ6PEriVW6o47w7VjuLTIM3HjMLsyqNV8mATJjDFnTDMx/yWF3IWJ6t
JyzH44n9NAqGuDpsmoIuVbKsGt5piCG7Zo9TVRcL27VN6+TxrkiWlkADafYvhM9i48wRiAc7J1/K
qoLhLHTqxp2Eg5V58Spuc3Voy3JcVeDFhAyyEQeL2YZCrGVC2+UD21dobLa+0OIJOwuKQD+NYLGg
osHFrz8A7P3lC/A44z7xKUcB5AMJer07BRNxno6o+ZrpcmrJklXBqhGjc8h5fVU5pt9a6gQxHE9h
U3bjIvF4EOUnepa2/DST48XAmu1YcufgFYL26zFQL4axDCsrfZcstBp0GFdNGqVqcr5Qt7xRVYOT
EDJko2bwm3hXxi3r+yGukijXJbpFYjLLUjnxoa5QunVlWW+5L7xDBl7TEg9pc+sVZRqNrUju5xFF
xtA8IomT7IZ7olkTp/JCPdTFI0FoXZth/Cz7Il5ODhsucO7HV1Yib/zhmKdpGmp7Xs3nkyEd2jN7
aA31WIXUS/JV98w5Cyq3yxde0pdROXjtdWBUmNdG3JI6ELfu0LkLGfB2ZbFnCW3qbIFNfFPPCQQ6
iXLlxrFctDNpMZmzYlUH4Pwzm3JInukSQvVrK2gxJ0jTxYTT9toyzmMVNnNRuiTEraMvSC2Wtebl
sUsMJETmHnMLdaxoSXe4TpZvcCthmbOmFT0r0VmzmTWfh7USFrdirjSnYS30Rv31sG2g/sZpw+RN
8M+gVo4IhF8Q/8MH6vE3X3sSTCkNKu38mbXZUkPuwgudhtcLrDqzsDbibEt4H5gjv7eALCsQtTZl
LLx6kU3Tk7zFrOYkJ3PsH+FDmkedrdRprNfjnx4qU/adwZGXmaK9LuamZzcCkfrq5PnN7h+E4Gck
4UV2VaV70rmRgVPoOtM5vQ2cPlm0RJF1Egf0tpz8dOfXbh1arsGG3s4KJIbPwEKQcQWFYQrzti3X
1kN1gqxbgIVQG0smRd0t3ByrDZqT6SL+wbWZ9zPXZt4tF83Cb3Rxhso7VQzFdqrM93h0iyuBRHlq
nKT/OlUZ3lrIMjue99vUbb4XuC2vcuROCxO4HvyTQpXdKvWSRT97NWnfZtHojvSyHlG3Yy2tlrSN
k/uWOVETC+/zNMWLJKnVOjadWMDZIm772hO3ODPLINHOpYWMNAqcrEosBprCEdcN7jLQXbkSjuwj
ilVwWZOAX7K5V9EkCSGbkm/PDJMF5FA7U2TFzrgdpNNl/4IBucIp9JADzoaMybTrmxqyGxn45Gml
rpDjP+qRmc9jr8oVw3Rc+1U1fo47del3fLjJhPibfcCghvMqeIGsGCIEEYoZlG08/00OrBti3qB6
Mn+aBjL9KCyNU4Y+MfQAftq1okVcRUyT714vgt2Uov4W0rbtJmPFEFnSNn31wS+n+sYSroTvhjAW
rywpcEkPSUqvLdXFZX/by/h7ltfdzu2d6gi5VXLKc42js1TD4OxsDuuUq8p5IFaiz7PoLOfZLFbQ
xcs6oAsnv7BOWBFAvJNVOVpYv0u9JoMxKBaaVSsoe9GDl6tbm9y3TZUVV0nfVEdLxbAEy9xj/vJU
DUgb/yyv8OhFPTioFyQ13sL2Ct/wD/XY7Ic5T2NxMmbkItAx/6B59Rb3BgTWMJVNNGCUxH/jyWE6
V8XAZYTqmq2aMYx9RnwP+QEnHoH85mtDzmu31WPrqz/bceCLMo6brS66Y2rGbAxNKcwhUY052J7K
ynbrN+0RYo2WXljhmSyGOB3DwLvJUc4OgZLFpgoCcaGdoTiwdPKXrCzMLfhRQdhIWTywwuyyrmrB
vuY8ZH3mfmXjmIYlokcXcoIHSOKXkOHiI9SVwCDVE+I89POxvCpZFgZsWndF7IaidzP5zYXK5qIc
RRFNs6N1bnwh2z2fmzPWl1WIsElCBsXpZQDWXd+o3t+WcbMpXON98lKhFmNF6JbmjvdJ+3wfu0F1
0+XjcJPqeAdHYPaxYpeMTdkeppLtbc82fGrGNkx7vVNtjjcWa4IeKkRugtankA4KTx/yqo3X5yDQ
xo1n0gZ9NiZ8lrWQlfCdahnTXm/bKhl352bqq3FX5MWmKLS78bykqsMz90QzAQUrP562NB3I5eQP
i64s6oM3UxbSYHV2SJuDpeCMecJ7heRqTNEQnTErAjWce9yN7XqAHG/zZ+qhcjlo42+90ofwqxqT
L4VXehHkLsedGovyE27SE67iWG1HkaZLyMyJL55qIRfl4+CSFKV/jYm+82ecQvC+ygITr0uHlVBE
GsU0hHFt8LjrzeDflp6Sd1qtbOKJtNgSNn9EBBczxxL5LJb0L8QSuarTQCx/7Rt7CErab7YUnI1w
HwVu0YHn4PvzlnsRuRpvKKugnLw/CwH7hRHE97Zx+JSu6jHX4RkjQo996EIi/CRT5jnaw86jz1pW
9g1p5SkayzAv4C+xWt8KZxov0j6AxOjcjBRFcHXGHM+QL1sUjrVbbmpXkZOY8Pxs5aOWRxbzhgwv
aB3UKxRwE1WmLbbY1MGH2nfQ0vcqqOjOZDWRZpNpLsDrBDIdS6gHqkqHluzgSshlj8jBUpmY1IeE
nhQtUvj9Jk5TdpUE8jFFRbkrfEg6d8TEoS2BjbP/+QZDM5a9ljtjDoXK9anW9kav8/i4o4ObhZOT
fOmyIvvY9r2zxK4AkzIm8cGfUL/IaYa+oCnZItz5X1+LZgysD5lFad33C2nMsOaNYFB56cWRz02N
IJ2LkIiEzMXRp3WBQsu19MDNEXx9snUaN0ehxYKeimPjZDryxFguX+jVjsvWOYd7ALUQ+aU36fsJ
bqB9TH1w00gBiRtLNtVA1iwT5dKSrZvLpceHeH0SzmMRuXnf7CyZOPVnRkV36ScN/iiyNuIe/dbF
HRQTqUdvR1rLQ+Xjz9aKWQhqczsIb+QlUwHbJxm5IaOCOqf1x3ExobDCkBE8O+pnr9xy3RrSgm/c
dSdGamuw5BfBFMPpo7sxvagl2QqDijB1OZTcx3bnzU1SVC0UDKE3qUzBaRcszpDtWTErYUnbIM3a
XRzjdg1VdxmmScfXbsy8pVJSfvaVGkM5jdMhG5L4YzBeCtbLzyim8W6KyzKypBsUZMF8VGwtqXS5
60sc36RN+iVu/YcMj2yR+LG5CIQq7rTId03ej/cWlzPuEvRTnEFO/UI63hTacqjxg2xpSVsTtdVQ
yziXTc9YN+lNNaGt0yLvECOhVmD8EBS9gTw3wTMZI1qEtCZybbkJhL7jSbqp3fQwyW1c1d4hDdJ6
mRhSLr3J4wcDUViYDEP9BeLGKZLCj3c95Jfvqi6GzS7rLyRzyDp1c71qJ1R9qV1ykGDZbzkRwUl9
msXeqBeds7A4uEpkSWW6lzV3Xlx/8FSVhmnBvAt7/QE8AXzZThjWAS5NjCXTEZ3AS+Rdkl2y7k6a
mPEQclAQHECxcWGk0yz7FApYFqM+hgoGuws69UqspJ+zASKfUFROcE3GmwmSeyrCQeksMteTK+p1
4hYFdTwz6/nuQ9z7l7+2EBhuhr62EXAj0eXgYMCdDuRBmpO/tREI1aViUrSQ8wfnrzOFGxWDdC7Q
QJPPsgigegmhEGcNJA6JkaHFk7RjK9RLvHJkKT4HSOUhRKb+EZIP413R5JEVKxUtd4kIzIlUFHWL
Nh3Q1ucyjbTR1cWEhj9V0aXfi+oYUNIkYQkpE9bF/EtRtFXkQjh3Q2JY5ALV9V7nPbvAbT2sdUOm
K1XjZOGO2P00j9PrWH6fpqdxXIdcST90kqqCWzLCh3sjKu2PsTcdeJIp2BoYsJqTDhIGSXeYnLtm
6LqjlbKwJceunjakRw8Wt5Bl2mbsa/gYNfWj0xMs2M5Dttj0YVeWydpiLx7GmV7DadPuXmBFXxZ7
jeoFHWr2NCn7KFp2aO3mTXGa6AmzMg5t1KKneb+w4JtZN0MPZw6kzNZlm9TbBLVXXm5YuUoJltHA
c/BfMuTSfVq5/a7OcFyFdef0O0srrpJIJ1guuTcuczhqFOT7szEaAi43zNfFLesEO0wkvvSJAGqG
uhySrK1GdCsDWtwik5CdQ4rvZ4mBou91mbIlXHDJIF4DTdcv2FbDXYvQjhHMA+WmuOr8jh6sBMnr
bFND3Rv2KDAtBjdllm3piKvTk4pgXBXjOMEeBYlA1ts4naCY26xlm5kbi7otL5cYroEuTyOouL72
IBt4HpThSS6UJNXajkqmKj7KPLngFGxqpJlOo6CKxw2EalZJJzHZG118suIWMhO8R837+eyAmcSC
kwsHG8igzqRt6gSuyeW+u7daCU+cTVPBmthZWcxzy4uSIX608pLIZg3pa7Gw72Y08f3soO45lLAv
m3p2IwlYxLnxJgNnG/aCpfapKOF2RRYyyYprK9JOzFszZz5LXVct3ZToddCvRtrmD3AXJ1+ZicBt
CMetPuZTvMFQ334gTdwufK3cnTf05sbp+z9xHWcPSTlANhMu7B15EmSXbjz5oWWUvvne18y5lrHK
oOSv84V9QE+LHeSjPo+qH48sd7otM7AU9iF5/EFVgffFaJOv82oI4L6XU32GPGoEed145eZtuoIw
jtw4ejek9VRHnUnzCE6XdIshOXrrjPDKqqEET8BIVMNtFDeKcVJeWy72Zb/wpZOsLSmcgOxbld+f
hmrgG64hCXnkQYduXTTKVexOamlJuEuCLlNJNydZbUQe1nhSkCD3Hu1orGLOOiADjSDdhG9dx5Cb
AnzQeVonBOLEqKhFdpoqd3R5AWc7Cr1ZxMsnOCaCZrrwWhwZ2f6Yc0W6RRpPYm3n0SlEoIJaPs15
8Pml7vLyNOf5c4D7XxTuH8xD5rSeLifGNpayT7HzJu4wnOb1qzlbJdM6f5lzkjUIqvNKXOrSrAYn
o+uuCbZVBuXIpdNV/oXjQAIotN0xh8spUafh0qtkdANpPuBwRyn4aHIcnWhHg/lLKYcU7ZSA+jzG
gHS5iiX/lHmiehoMla0We8s+oVXvohD86Lh0soWQYAC87DZta7zqmtosGpTmt5Baz2/r4hOH7+na
CnTM9ZaIq2ZpyQpl7g0oW0GrUuQjXwxiKFcWayEpD4W9CO4UjFvV59GTGozbCp0t/K4u1tLt81uU
UH05Yn99lijqsYO/2amNHQtcpuAAb2ROq1UVePswYavaJIaFUF1stxYrDRr2I0m/TPXUbblX5wuM
eLom2tALlJXFITFNGyVmEZfVlmequZtQWYS5qMZvYlrlJWu/j/n0OKDC/cjVwBZpE5dHuFDEt1Ad
YWvs6uTaxGKEubjFPVyt3pWzUtrJNZwI7kNKPahm6Km4sU82o6IXaQpxNFzoXVfcb9aZO7GdTsU3
b3DrpaAO2vQ+pwcJVmNFqgQvnTKmizGrgwjFnN857bImpIUa6IAfeIKOqqh0Ehp0JbiBl5yaeiWk
q746XfJYo97/7BuURWQY49s2SZyFnjJ0yb3p6dlJ6VYXb54ru4Rfx3QKIibE8LGTkP1wcfzmeUMt
mQhVW62CscIrn+XeqtF0WMR5nEMNG7MFHXv84HQ4jHu3/RK0JVuJZjQblCn1MSD+RV3MozYBjuCO
aXfwTI8vS5nR8KQ5Zz5FPd7GAa4uGMn6pVUoyjXcHuL3xBX5Cuuh3c5JzA9T4F9ZPmS+y6jB9XAU
FTJH5oxFdFIMkusJE/YBtp3eGiSyVe028X3crE6KHu+XbjepC4y66XYQzefTRIqJhk4JLy4bh/7g
shpHap66HJwLJbvy48TFuHH56K8K3XVfMrh+aQUcr+FQ2cfFfEGyvgk4XFyyj2ppq8MWvIarJBm6
vd+jfGEZDm1XAZyanzrukTWvmnEtMuN8UgRWfn5mVat6MQme75NkSq99p4crwvOLVp4nwxHcvhvf
4d0uxo13GrJJC9hwrfiiJz9Zm6lqNv7Ax4+TcrdWMys8Cp5qUUDY7ASXZZa64QQm6Y4W5V09DmUo
eV1sVJLpUz3cFsWp1mUYC7/YnAvlOGG3juHudramjZPSm2pueA6+Xe39X8q+rMlRXevyFxHBDHoF
PKbtdM5Z9UKcOqcKCSQGgcTw63sh572urj7xdfcLwd5bEk4bkLT3WitLa2OmT4Z98nMb/00BPrtN
qK1gyw6bBS81nUwrzenLjOXk2VjhpMhxikdMw03j7rDMdY4R10nEW/rGfct6qor2wcl18TFFDb6c
SoQJc1nxIaUz7ZQtpo2JhqLgmeXP+mCievR/8Ta2L8ZaR3THuHir1xH1AlD/OkTQ4bqLkAGKEMgF
VBs/1vEJBLL4pAKN1anuJnc/RurRXQMyj60u+y1sTe0eL/0QFZASmSGnEsg/Bu5/Tmca2umwTP8U
zvfRL8p9rrRIg4Z4FTavdACoo/d2HfL4AI4WfOdqYLv7oBHPi7Qpiqv241fj2sL2fFIiu9lu7U2J
23XDAft9DNbXL0Vol0+cEf48BkHxEFDyU4UcMVfFYuMOPW4zcyFsqP5W7eBsXII0EVMMWe8mLD94
YYUbYZFmZ8xuzAPcBVV7MubkuXsGBMiz3+RrEardNHNdfRRUVmevtfW6kK4+4iCOd9LOv6Ilnyqg
m/L5YKLajv7yGyofTVer2CyePb1L0C6uSD28meuI2u+O5kOJdXyAQf79Q5mokM7tQ1lWNWGxUHW7
3GB1VhQPWZE9xqxHNic5djKbuy+mK7InNkAg4y2sHLX5tRG4gyuW578D3Rrl65hsbRQIsWTdUGzm
ZUqVIOVLEYjlDYnETTW06tlY9thgicaCJ2PFjncAJri6WUi0nryiGa8mlg/kkc9N/GgsZJ5fUHBo
blbueR9qipyLidWF+OHQgF2iZVne7BwVq577YDCsl49tyRM8G/nJRB1RyKQm83C6XUQ1U8IcHj+Y
aI15PnGELx9u0TDI8Uzx6Igdu/0WRoQDgXseQlkdgCpqXpcwKsG8sJ3MmAW3h3Ms888ImWLcxV2V
FHNuP5ugPeBSjdeTY91bzetU6WZbl1O/4pOa1zH3xAkoV2DHTd8hi6qYv5qmoq4rwLQLLNzXplSN
euMBMbg1UdJ3zRGVFS7H/sI9n2a8Ek4GMGp/CboGnAe1npY01glKMPn25uwooEJJ1zvXUgAD7Bb1
DMbMOobdFYnwxCcweodpQZWirvL6xSGjuHSMXmzLsZpU8gUbNseLDiYagAn+kM8xS3LRNS/G52Kd
HAhXnYyLkTHfm43QbAaYnX7fu02Pty9Gn5w23OZ0UZkxTQ8XzIRK28/G41Cs9eaAAxa6XoDO1XhV
er41Ny3GKcJt1wbV3pgxHfS5bPTzEk3f61wPJ+MerBW3skz6aMyi7/xjjhkmMaY5jNJ99QbOz+ZK
ZOH9nmH2Su8t7CCbRpHhRuHX0Z/sjWcrvcGbptvWQxNlpqNuHOt5/Hn7a/uOLNmMnNnWjAIotPtY
8XLnIm36YpoH9VKnrr24Xx8/LnzsgYIPVKiLNl2WcAucceoD5HWdIs+7VsimnogVH+8uc1ZNQH27
4EwY6+YatZWQdpp2tFNf3fuKech9zTqdiupA2ynacL9Qt2SUSUGZQ97Hzzar8+MtByV6lMqnqf5q
5xE1blUUqQ2hLcvGqnDOTsCHc1BRkVUTp3/nB4M1ucdtX/+PcdMfU7PA5o83W6GRpuxY4z8ogNMT
Ux65mwbQezdNiaRZGw+hjcYrpPceNX17FTeZJPZ0iKeWPPae86uj3vwZxpRuLSnDXbAWoLFqO8+S
k+cBq1DTKi+jt3l0kFcUI9kiGY4+rvOmFRuewDPsnrjH3ymv5s+2LOJt1AJLpDB1flJ8WeGYJzSy
G6Qcq/raeRp1fkuKE8W2paoYbTf3JswJAGCfaJdNVE+beWxQSYlIfc0ttzwEqEGeb76ujsdzOA19
5hJJ1aGdpL1x28ne6dCO8aWVgDAsvr2Lax1nQ669NxOtIhBp2thNOPLH2wn8o7S1xiZPHLexz7Qi
G0cO89VbD7Ng8xU56R+zK6ujsYw/Vu5XV+MzBzu0JtQcWfQYeJUGSBOozjnq9WtQqX5lLfXbcTV9
y4kOYVmw1EQbvwTgQPoATyFoXC0KFMSznSdj5S3VCZkB+Sz74vfRbGfLChk+ASs6ADZ+Vm49Pjme
1T+PIEgeSD7YiYkZX1hYdQo0LBJCa3vjI9V5kMo96VJc7h3DebITY/7R0asDm6foNK5XYvnydSXT
oRR1vm/cOOaXGsuGenQcpLCKaG9ZtQve4Rj+H2dY4aM4n78v9oDsETJpyFL49nMInOvY6eBkLDVZ
wQN1vL+MZQ6R78wAAdfezhOj86x1XDxr5FPXzmaYnA3W+nSzDJiRRaTriAMNghOgBvQ5pNvA4vWJ
ieXdNX9SObth5tMw3tjr12cOpZQP3POss7FQVxenaXTejSXBmDvJJl52HBCKEyso1gDrAbXOr7OA
EbUbqu6bacGd7stvzJnzNPDb8gzc7JAYFueCMm1CuBVdxo6TR3sNiJXe2fi5n0AJJLrQZiSPenK+
epQl+bW07l7nAT9oSIc8e87iP/nVLl/c/lnUaniO8GoHchxpFNPA+MapA0bJb7869cAhP0VkW0fn
MJjSsHLZKRhq/2IOI5kAr13KYqvljA+9BmhcgYk0rxFfO5vJQ0rNtDNRa+xfdZ3j1w6q6VyTEMS0
MH4YQ5DpiAOOWmICxl6jVl78HQeFfqIUoJ2ajO7L/aywZpq1q88C6yPzK/J79N5uaoJTQ4YfdC16
IDk7JSN+/gtxmPvcteTJ+CUg10ib9e3eXosbFNskMbXhu1ZY8MwNwZZ79d+7160uAPCNquvgyhgb
grz4wEYixhIJZ3L1mTPjM1HTbtSS/hkF1e2rbyNzmZKRujtr8YpzPFB65lROx7mdN8Z195uzJhyK
s4r9fkeCann1eX622m76Zz2pUIAzJ7T78kTSixNSFtp6yfFLqFLRoyWdK8+xh2DmlzOnPVm6pI3n
EQkS/KbhejABb3HpkfynR4y/9BIKAcg0CNtyH0fekrnNNOzGuHNe8VNau5EXdWZM3gfDKUDaJjFm
P1XYpmGlUEjmqtSz3O04luWTCRKrkUmHJ+/BGjzn1Qwsyw6J1dWkIQYmNXLtOTK8r+4CgHUAwFdL
3elicHIGPmcHAIf5icVbsD9978Muy+Whr0SLahD3P6ywRrbWqrv9kHfeh2z7b3Pg8WuB/Ofrv3Sy
nNnO6sYNz7XKLMsCdQ2Z8aLQOLH8jJmTcckwY4X70AuDrbDcejeLXCA/DjqNMb3ex85qnXyNOQyk
SxdBu6d55v7R5cRKUfufP21bNalWgQAmftYfjnOufX/+NK1o6wPU1pLpk8QzMuhrK09bppXp/G+t
PKtzstoJKbIhlf7wAc1dR2gH9XVZY/5xWbTq+dhsO2t0stl1xeV+KL1dg5zK+e4RDubxBKipVMqg
PZkACu31pVeNOtmtBo1P4FnGPPPGBh7uxdwF28q3g08t+4z3kv0oI4dlIDHFpzKK3MdJ+1ECpjf7
sfbMZVm9gc/w1dPJxa2naQDQ8VfPzhXerWfjxPRHx4enuRn2LC+7v4BunIKc/gLrGdmXVodvQU/6
TaNHdpadVT1Ia3K3gIk2L8i0oLYVaVBJsLczvapm/qbowj4GJOOzOhjphfp5e4RAhtzlEXDEZY+y
fCF494MBbYXcPftV5ZhRrbb/XBjpsjIAh7FRkT7EsvmGRb/IuslHLgpQuLQY5vg7Fpx7Niv2ywkw
aZTS/VYLZ8UiBOzqDLm7j+Mq3DeegyIRQy4wcMfpmx82Z0IwtzpW/k1hQlBOQC555zSvOmJ52s4V
3zukaV5tlKr2mC2WtPVp+zrOo/046OoBj2zzaloEU7wvlplfjSuUpE/LOKYH034pwMvuhMMzE0US
H2T5KXoylzKumE4ZiNfqyVgD9UhSMbs4mrEZk9Y2bMogM2ZYQMpBF+1303ZqhLwIFthJjKL5g4qZ
eEXq6qJ53Xz3WJ9nPmCgRxnH3buz1Nu+d5rvcw52LO5i3BRtbX+29g/T3HJitptiLOyNGTvbqBnG
b42nuj0kCfqtcc+aZ4Nfio9aCvfQuLTbmEG1FRwbPIwAMg5kU3r+oZVN9Vw1fpQyv8YCItK6Shud
YyrsMFcjm/zcDg1/pLPeICs/VimQGGof69FCgXS1/x8734Zar/avAziFHpJyaA5IeCAlOoxp6Wry
Vjp1f1ZOGyTGXzvTkrXF6N2ayXr6rdkQ89+bhVgsHUBmk+eZeVhvJCgi/sOqgSR95KiTGhb/Azwd
ZAZ69m7bhD6GYUeTZX2JYn2gd6SsgZFfzbALgqRCouBkzNx700U4vFNP+pdJFKANr4PpMEgiwIer
ttRJKGb1d9/LzHZrJCew/H8ooSjy3feicmW6289tGEHyoRqsh5wApyORk9t6rLWeytmRKVVV+T3Q
6uKa/ksVJ2pk8p+2DqD5EA3j2+RJtmlzAgB7O6uDxdi8L/N+eBSzpbK2ovk7CkQ/Ranpr8LeB66H
z9E57lvM4+kzWp89q228a1l2zs7zQ3Uc6ELPva6DDYMcxqu9vihQxpx+WGG/tTrkxPyC6H3l2fl+
toCsHnrXWzVt4n3bIQlhzNnDGxDchPJmWm7u7V3SVzdzLPCUitrimd2U/hu3J1TLvbrG/ApzCMoJ
ZtjcGkcoV++7sOxu0VAWwx7yFvhO18a0ibDO43S4RdsQ1RPIPahbXy+fxD73LX2LimCo9iq2p1uU
kJbtC8eab1G+omgL7di36MLLfIcSu3u7kIxQCGGd592iQBgHO/A0g5tJme3t7CEMbybmNme3qD6+
9a2ncdm5QU5uUUe7E9QfOj/hc3/o43bYg5z95gyrykenRX82B/y8X2elB47xMp3+bGGaUQp6LAp5
fGfMvu3ttKYBz5opJ4/Cd+MzWYaU6zZ/xOTrRQlFcXPbFXS5OU07cyia8kfEAudgLNMjtHKkfsW4
Ldf+96YlRy6Kl6iF3X3mbHDtV7fm49F0N65+YdZDTEHAAxI8SowvL2uSdTKHJsc6sCPw8klY0FxE
UPQP94vlzcAeOqu5VtiQ/3b9scKk6i91uTFt7xeL3OoQxH17uvtVYYljmFvv5sr3sVntxikSY85t
jOglj5wWOe1K3Q4W89WJEgqdlhY4+/+4OafBkBjbbe37aYBSWoOJFxQMS2Q2YCGn26lpOrTcSujQ
k1vkfxhu4AygrwKlhfWS8zpOWCjsioztz1acFjUB66eMsTarlk8yOuTQFbjLjRkGVYR9E23OIIYU
7xJwOeN3oGxy6KSNZew4L59OP4Cm2cfqTFvlvwlkA4y/EmQ6LBSI79vgkC9DjYSNCXIgWNACo30y
h3YoyUmuB2MOQwDcZQ7il/GNXYciNWr8wCtDjgKZqTI6l9EQnSveZ4p4ywMmYR+5sTUQ5pHeIPGF
eaWqsc42DU3EATjatKZr37vfnJHc+epmzFtfWQRHkEMmjrVRv5tn1zoB0sBjX4DdhcPss/o8rgdz
ZnwMBaOsiGzA1P/3AMWU/Fu30gKa3W6b4x9+M4jpijJ5vpVYLt+u+G8XM30dSX4ggbhm5pD65WM+
b+0V/m2YdXfu3Y2Qx8OYHMLC3khD5ru3Gb3CTm1ijTu3j0rQsQP2YrkSIjyt4LuRFvyd5dWTV8zi
76XPS9wWw+8tCB3+Ly1yqxuyeRmgGkFccSJqQPJqKOqTa0eQ9Sj9w90V8TLsk7t97yHdSu0h8XOO
10GM/9Y4mu0o06Kz00Cp4Tq3mKF930auEbkTgnKfjPYNiIRJNwfD9eZsa+C1XYAAja9ZA70EfBR7
bDszw9wCThQlIdCvmzsTc7JmO+U8V+ndd6NwGvtPnuef3NDf4qZ930Nz44/h/hzI2P8zK9TQRw1J
FE8dJnbTJa67KdVbkAsB4kHFZUoAmAe1YHYEKjtNZz90JeSuPArTRFTeuyoroFiaBPiVt8YZytBD
WmT2yqySLGm9sX/umI13icuiQ0wqpEtGWT258aeJGU9H8hLgf1Knd18YMD9hNV/BM4F8psAKPDfP
prk5cCh/7Bs7jm7XMD6f2mVaRbTfu0087h1hAwMjBAd6c+TnHrmPPVXzR5c3zoh7N8bRREwb4JSH
tHe0lzlraxOIGuVsG+3NKEpz99gEle5fc1GKTdDZIb6m4gU6QtM3R1TYpgViQB26k9uJFwBI1P18
nLsq3GHhWFwhuSBBhfWd9wpb52QU/vyPV4IARIKxSDgEOKLJI8As+U5ScaZerRxFPO1Jfhkjmx9s
XpUHa1132U3XbLxpnl7bHqwiFkb0hxNXh9tIUCFAciUf/tEKjx8X9SVfRNZ4Q/vgBS7quNHMW1SH
/mObM3PooTC793vv4ndFcQ7/e0BqrTi3E15rgsXuzo77byZ49//Rdpk6umLb/nWMe1daxfo4CHdj
xr77zdndt7QxO7H45e65N737zIeplrNrxfXp7o5rAHq7sI5QfAj6c0xJk1hR4W0n6PRsQLVuskU8
kWgIXqxmiF/b2r220Vw92iikvvbKWZIlGviDHgV5XXLVZ8i7RPgOEPX7Mdx6WP5v3NUk80wOiwUI
jhmp1NI5E0r/MsEgouw5x+OCNfdJVkF7EHMBindljjkT4gEVKGAZjG1OBW6iIxCtw0MwTeRN5NF3
PJQjlMNgucp5EbU9Pt4s6iOxFU/XmxVGe7E09pOxSIUMScj959qLPmy3WTZiHJZHc3ABhN3UuWcD
ogBf3flfAQlEJURz4ngz2IEKE24ijqRJAfb6/j5CV5WAnhV0V0M64HT3q7Elm9oD+pKMXZ0Bf+hv
BrCqrgNAN1e/iaBpB9kPCB+1gJasBw9ZkbMQKFTl2I1gVQqf8oqdJxdIg62WaVsy301kyKp9qEp9
VSoLS2s62WweM4HM1o8yw945/CHVoDK7EpD0sNroMmuU1UygC/Bm8nr7mx4DDwXk4ScRVryb+6E5
ilxDCvC30zIABBdl3X5Jy8KFbpUTthtsUPLDSjoYKq6uYSDbV3DoGlTMapDBar99FVjg7GQfDpmJ
imgKznIU70hG8yFVIIbGivUQW0N1dmR0SYJoBN+tIGLXaGi2JLWq7WMPGvjtUNXj7+YPawlFWjtW
8YCsUPFgzvKlob+ZJvCHj6892rgum8R0cZZhg3dLsJeoQ02UouIxC7CNqS0fdMHKJyeQOqFd3/3o
dfhKJtt7rdTkg6Ho51ve6vwDullIC7TyR7cIBbDWPFzAUPHOE6qdaSen+nFi1O53BZQGNzVQXtdw
HPOD00MqyO/d/OquB+yausvo+VlXIt2/AQYWi/R+vJigaYYp+ifS1+XRjGEO0CIBCLzYokwFXBr1
l3e5dNvC9+bvXtuOG4VC+mGKVLljGojwfCWQlF7JLk1HixR01hCZCJj3AF1N4Q+APnkzoBf/7WGB
oXK2ANyMuhpUkLqPPr0iH7HrkdEDaKTtx6h+hKsbmiHhQa3JQVQJugQI5mLv2MI6xcNonVqQvE49
kNebsQDjxQSMz0QDB9vcxNiAw3YpAffFEkv0SAYgxOPIZz/smT/3XQehG0C79v0CiSre1dYntDtS
0wB8pSpTXeWfTM+8BlSnUJggLLt+Fo6N+u4Na0OGgGO2q7zHMgzcR2Qkx20hLPGbz0RlSbt0TWds
ZzLralNhZ6TnKcaNib7mEEjuXkjzagyvwQsiEQD9HaYm+ieSs6o2WHfzjT/EIrv36tb+hdfqpJ/z
aGcC5qPkwD4kqECzxBAKQcMBWrOn73M7VI+6hWwBCvpIOMtl3kVdH21MszhHiQBqdJh31+j/dy/I
p3RvSvWJ5bn6Ci1RfQUbQV9B4joQVJJOd79iNQrFyxJjO4hmJlBxG4IFkXswnYwff++8n4dxTXFF
3iOoF8iwj3H4YQf2p+CN/6skO5Bao59W0VNAQ+L2PeqtMNME+DqvoKAs1rHeA5nlPQZt/9Ub3+gn
0MO/vEL9xHDFGVzockzi9TTqBD3TQMYpy3kFYVH47oFBT49QRrRX3jnAwH18NsQxwwortbsrbBaf
jWX8q8u0IgvNd7fCr1s3APytNI92dvMnSzwbAog5LCsppIS8y40UArgoMgJ5N++6ctGvNFan3hnm
x2AR+lWh6p7GQAIeTJBB5HW7UHCzTNSO+PQgam8tWqCrFIo+z8BxmaBxgWkBqK0/PxoryJFjyPtT
ju1NDcnaURy5T4qzBqA0g7IbchGrCfEV1H/WM/C98ZUZe1rb9J01pEvu14kdxdNBgiv5EsfQHnAt
N95iybu8WDaInzGZ3ubVMi7bdd/rruFn077HLbsDzQuzztoiBozoSVMfCXwMRkCmkG4GpJib0sll
lxBkq1FMePu0/Gm2Q6wefXZGXcrO8IHGpyWARiTkM/DefJqkbgGudEHJFzMI95b+BNz6s4AI2bU6
hnjZPEXgpPF5RrWVi2jnI7u+jaE9vPUbDpBAawGkH1opRXlyj3LswYokeyI5Xu4QuBu/x0h0+4M9
g+Tne1mDrezFnFkB4EZd6zpbN8TPWoKenEqvrTOOsj7yT5ilkYpF5gxT8mjnTTr2uZ/FjYssbrUi
yffR9DSTdUVEQCMucP2kBlT36LlySd9clj/EZcmPeP6nBDC2v1eK63Nre8UBQgzfiC7+omVBdjlz
CPTcLOS2sB3GLMlwFy1vAZv5LlwBD3E/HUrZ4m8lYRazC+DtQTKLll7bziNbqq5ulQN93jmvynO+
Q68yTmwgwjJf5ch2WlEiIS+a2jOAP1CvTfWIpwdZgppmy9CXEKpU9pUQG1KgqBMm7gJBOKBrhg1A
z5F1bEH8zFDpgIiwwrxs8/JhAmwxoc1wVkjHQxWP/VMFtQPAoDdsisbptlDHEAkUlpMArMPUbRmA
TuybE6rlr6FTuzxgh34JHr1W2g8ESmYJJie9IUzWCeR3fuXqL1kLlmLv+7OcHHwX/bcaAqIlqT+0
AJjEbdXWm6EuC7RaMsq2SVzro6irNJAdppVuOMuG+n/x+jNsq62Hb6YmEnWZqP9pY5mQBf472ADd
EZBj7E4ksxO/1EgZWNaYukvNAbAKvrvMXQD4xpqSsAZCWHr+Bnbkpq0xwc5C94eurS4sBLJ6KVC3
C6p+K6dG7YAW/csa6/pV5b86UiGRKPs3C9lRrBOWSzshgSRYARb0xDF5LFFmO+4FeEz8JUtX7qEG
MwMiOf7kZSEvEA0YM81fldbOmxcdNRCUqZXTVwe8kKwBORMiF+Ga8fQP+IcIF3+Zjg00MZ6XSlxG
KBhtHFBkNkuFHwOFXr2DuqY8suJAumETua1/yBvpgfkyPimHSSw+h27HQtomWqsroB+ZL+cRKGT/
6DSxldhg7ANpp14i/GcMpIOaJYMwgzzScoQCBrC5NsTqIHeTlpay9+MIjlnj1wC+AteVNwTVfha9
FU2LMtGg4qPQgcLrPLzE0dI9R/6Gqi7cDYodSc3sNAQCktZxuF8W8Bh8vOIS6J45R2zL43RU4JR3
OXSPwFjzu2EGisM+gsPdH7GKYO6mmztogFXhJKH0gdMOvDee/BZbXBuOugn1DmjNQ9Mi0QV0JJqa
USD8ivBtgKKWkEJzEzEtIySjWX0cpS+hB+1P2QTRoyMlzN0Gyn603bY7Aki+4AljsXzk2B9nPUjR
O+XOPzGJhaDJLOSph0R1amFlkGD2K46hu62sukjzNtrElMf/PNeT+lbG2MDNUceS2v0BkvkLRI8T
FzW9Q+EptolK/Xfb4+ehZLm2fsiOdgtoKSrwTc1TwGbJo+RQCB3iLdCv9LVmS7fhCkBkqX6KqEIK
YwAFiFltu1ksFj9qmR/EEq81/4TmM3twPPVWB6DNl237bai5tYnyHj+ecIB5yPXZDqlGCR+Faqdv
XnqmvxfSH7Y8YOGuClFQaUe1zbWsU3ze6kGIaUcYvhDRCpK4ItDnrsGX5XD6KkbU9d0OW5ec7qpS
bBcklPch7U9CNHILIe63sbVTWubiuMQorvGCtKhoVtuhyU+ylS8zBME3tqOvbe58MjdCqqaXDzb2
G9AU03oD5mJwtFyLImdf+QdO7TGTQ/eLOk2T+CBf2/KXC6nXZPLLKe16npG8eBpqz9mX4igLFWSy
S5qof7E5fe98m0HnYsLWNxYXFoVQ/fZGSCIVwKZKIg6ug0VCFVefgyQL7qN4TqP+1EJnOQ7nMKGk
dpNItPG2QbnnogBZlEU/XOpAIZsr2m0+YQ0F3o2dEKtXb8jplxC5CD69pgAjCymnR2qT/cjTARn6
Y2PNPyHX70LG+1swiucq8MZDjcpTwijKxZicp3QOAOdroEWZIg0NFdEa93dUdUnHRfdQjgPewfHk
b8M8dBNlTWPmceed83YCdhXiV3NMsrLVPBkrkFPpWD6Yg6ZB+YDq6AMXMjwCAiUA49UvcQWCBTJL
0HGwEjXIX6UXvAfj/Ld0B9TAmH8CGPuhBQsRch8QKAihoeTl8qOHWA00QvhrzFRwmTDdQ3CPy31b
9OIqZuDwLKaeqFoSXwm+EVjUZS6IWRkJSgg/OyOwtALK104vNp1LvWPbxNVeirg4lRRVtn702MNC
RHDIsVI7UlY5x3L0wNBk9fLQlNW4r6dyhjJm6O0gkT+fNRMFFrOgtQIe0231OLqAVPfOpi2r6CqG
gm0KCB4r0Hp8GqKYOqvgmbRYEtedV+8ZkOLpioJMh8pG3dwHJD6gNHgNPTKmI9TK3/p+r62QpXVd
xm8DivapjAL1LktmJeDl0w9v1kFSAlH/sXTYOTmdbj6tDjVRUg3ToQ38IAPltU8GvC4/pwBMHwZe
yydoxQPAycA+AKcKRQYFdSNMYCoZQNX6nEKlElZR+7NhgUoC5EU+i0AA39ws4yfy6diwVZ3+dEiu
EwGU1CcJeuQWl1h+Fg1eEVPOu09QyKbE0b68FpZ3ZDNWSBC6J0hIRHlmzJIu7qW2wCKa2OcyVG0K
XpIPTHcxbDt/wiTr+0cWYk+cF76+DAMbLz3+1ocpllsAzrBXxgSUtUSAasmj4Iy1NjJK5Got0nod
Knxlo5/qEJ+yzcsqVdU0Jq3lVBAe89YsqAJIk0rAfosed8jkO2kIyPjWtq1+C13kv2LNUWLuIc3S
2ZD3sZd5q8tigKRVG6YdUqSJdjz+2AVjlMy08jYVUsCJB2k6t6nI04TZb7u0F1118171ZX5Z8LdY
ZXgCZvGNs5xekUhVCccmAssNy350CiXx2C/X0J8xYTdyTpFIALqOrovqHDtZW5cqBZlh2HpxkBYK
anS+7VWP4aiaA/lfbJ3ZcqPKtq6fiAjaBG5BqLdsWbZrVt0Q1U36Lul5+vOB117esePcZCgThGUJ
MkeO8TeL5py1ZDF2Y738qPpq38lqOTTtSERRux+Ag3e9HFOILzz/4QLid26cmH9FgA1xRkgjoLXR
KQqzJPLCnEQrvggzUz5krDSFMhSHUFZwAHgRSnbT16k7yklciaKXq0zMTqmlxcIdQ3wgIeCXfWj5
vVvYnlpUFCJZHjqUQ1/H2iWpbhX7tjdqb6xIalRu5OyyKhJeS2U5aJNa7JAJH874+4inNNZSbroF
3EJLukwzmVBLQmiEJ9JraTSAdI3rrHRWMFjoXsLtaFCqtS0+2bMyTM1Rm7NbrLThpeNR9eyo/m3a
S+9bVBmPg2pcEUsnhTzbWoC/RXWoojj3zfS9FVrzEs2T7pFR+8HsTYV5jOczAgjDPCCV2kbKs6jb
/jaJSfFKyvVPbYz6ro5vQ49e/BnDNuiwpHmyTr6Q7Qbc0AP8qaRrHkurDg+2psWPHDUmr4b+rmrZ
DXrjnltiunUt1cYMVOI5Cp3SLwrnKVeJAiMl9wZHfTZJ6ASGmGdP65Rz51bvcSzsa9kpf+XEDzVZ
mvFk1k0ZtHP2pzXA70h0+3ZZ/1L1Mr3mwzh5SjrbGBWMzx3rvg313HNVUZwL1QyDGSX/XTzAlO7D
8FyOdbGLbeWvOZnjBeU34zDViZ/0k+W3MfdJX+vFWYkHKKAGidF5qk7OPIyQdKrmao7aTZVsqQyg
IoZp+rqSpoBlicjiQlzk5E5nVOylp8mhPUCyDZIJFQmniZdjYeUt0Mr6rWuru4L0gu/0lB3ttv2u
xbnuG1IzecJyHj4XzaJ+giWHTosTNTex5kR7FN6CccUvQZ2fdyq7j9pN4jMcJZXq1fKjbQ2wcoQF
Ox4KBB5nZuVlmuKd6N3veViaXmcP5Dq6/Tjl8jK1AlWQbrpNgAxLJth97kQfNkI7weTqtZ/GebBM
kWAzPPAF4eewFxgUBLGdf1TFNO0aUmZBLkGU5wlowkqJbkuh19dySpagDVmiCmEanh26+V5JB9vv
irTz4zA5kIPLz9lSnoSqiwsxPvYmVnc00/TF0DTlUPMgwSJ6yQFwjEUa31v2s5FFoRnJQtZ8eCVd
07JjVaVOpM/Orjai6VDUQtulAGy82PFtK33GKsUivGkHvwAhubPs7J648QWxTxl0bhdRty7UPTYS
1nGxVRfGb4PoJqYlnj5kxb639GDpRbVPqDx7kcI3F85q0NqO9KAr53tEBZlJwjgKurT7rmUCrci+
HR9aQVqogH3T6Hrsqa4b+p0hyD2F6bTLdfngp3LIsTg/SX/miOrVu2g2dnYORiYiKQda35bBmMt0
N+nYBxjJFH8k5GfgufoK2EBA7Z30B0KKfWMlkMZRggAdXnWvTX4FxUoh0KXmLycQ9Plkzp5KJG32
Wr7OP7+QWRgvcZrflbBZ/EHVwqe4Nb4Lkzr8MtTntM/iEzpjpmcqwLkqqhm1fbHZZUI9vQyGutMW
0uFNo6nMeyHUuRCcUtaeO70E5DXlHtD9xguFpR5UhT3L0Fjys7EWUBBmVQw7NATuoZsteziak4+V
S0Egq7BTn4oUIIDbnLR07M/TGA/n7dVXEwmzP+OZQMam58mcbNLt4NsPc5k7B37c+mzkan0W5Lv2
3YKXyZQt57hhYUgLNm0uvCR/u5rTUQzo8+nQUGA0HfdC9sLxSPXfYs2V56wpP6RTkEApzVEelwSd
XBbqH7qTz2fERhBzNfoyGNA79SqhFcjQWKXHl2CeBiUfSC8cpnkpz6wiJZugKQysvvoQCaiADvcC
rk+qpbVQADIrX0kqhExnJzxvDeErcWiS3SzS7vtQUeV56ZFmzUfrIJkOz1LNwC4mhKVeI6s3ZO5/
t13Zf35X26vta0oWSyNSCRfHI/EYH0KtKNnRss/YXjlrd2LHwe+9k3U58aFpxBSOZxG9Q2qqmegC
ra8MdhdUZV07/TDKqNT8Vm2yU9ctFNyXHX5Ud01x06Cc+McovllavSpBEMG3bRj6TFLrB2ieh6q9
ZQrTRZxyPJvDwkvUEDGnvDmOCBf7YRk6Xpqcxg5eokKwBgx2Ms7bJ0DMg7qwvbxTtqvPLAzO4m8v
EUOr2f6GBur/gCiRCoH+/VaVLlur0SRf0zraGaCDfo7hmPu1DY+t+eUs+S/yLg7fbDhx5+qWw+6Y
fqkPHurq8Wn7rWp9qs5ybbbu1piIeXCbrz/l/+9wWOOV8nU28vHtfsa0xwEJrdWj3wziO5uT3m/N
XBeBUEwERsrsiLuHS1GHE6K6Oy+Vk3r4oHjSleAzY7sBckczgPjbz3/iMD1RAZw0pbsiCp2ccqVI
PPHc1+ia9clwL8P6mjEPnMvCyP28Ln7OBYKAitE6XtH3ynnRn9vCRZdyUZzAzqTiAYymnBCly2vY
FCVz91LgpRHdbapiYfFI7OFdqo5xGNY0gWpZxXmKXG+SUr/M2rKDwu+O9qOXPMPu4ICXLKo3d6NB
2qQQI4iUw3hSKpHx6DgzfkMJojS20hI1kWd0EW9ohvyM6pN6RIyUsAoy1oWv5oQWjGJ5C1VnT5kA
aTmG7mVuZD4myyvrOju71fKHH9v2Z0CrJ3MsHc/R026XUCLTx869jfFiHEgq17DG/JQtxM6SbfWs
FpAaB7ZRfpyjzNTnUfVspVScqwrF+b48QLRfdlRhXM5KQs+YYs1XW0rHS/YPqH95CcvU9EO0NXat
sjTXDOEMQ6uUj5ppdm9P0jnlHdwNV2GnvFhL93vK4oO9dIcBsMzDtuPqwCNQHkPy6B9ViQFZmSo/
+9CsfYTjBxCjcX5TVPY9rTsEdZ7EPyPcWMgk+ZU9md+HKL6LMLH/FjH5NNYFvVTEcx4SvpRR2nhS
nY+N2YpfZOYdcgHMUbba9UeSJa+UBuG49A1EK7Iluypqs5OuUNO0C3M59qG7HBZKBztQmsZuUbo2
IHzcVfWYHtRmzXe4ZKRKMq1d3IsbQP+j0sTDK7qAdyOtku8hTj8wwSkm6I+sVquVvJIEqiGW13ZU
v3et9k85ds0lHCBMUu2nDlMVUJ5TFx2gsdxFGczfOM0KyK3ZzCQVdHORX5qiHi/Wmr2bgfqOhmyO
7iCVd3VOg9g1SKnC2NuFfR5MURq9gxT8FXfO8mRKjCcMFcH8eVDHwOkLkI1WlexzOTnfJflr6Tpg
69twvpD4jHa5iZzSQAX5aMxkqHHs+9m6o+Hbma09swMwTrJO2kML9+yRmB2sdyrhf6V6NC03/SNn
bhhSLMbdrfIaxZTCPLqIxt4NPLL8TonL33n9F1mBhBop7iSLFO4DtDFK7okNYbhZSgLqbHkmxfBn
1rvTMsfdY2w7594jbJGU4JnngWUhTyTT0Vb/zvmw563mnVFLy72v/ufh7cxtcOtvzXb617u/xv6/
l9gOiyXc5vlQL5QT+oaolSoJq8rny2rUCKLX/vZqW2+GROWkrf+/Xn4d/zp9G9ua/zO2XWcbm7Wu
3BlqjdfdQHHeAxJcs6iuL1WbEIZ06v+MGoNJQLAezxUgu4G+Ht/6n2/9bOOZMqBiKfsoi5vz1tTr
MjuaGBN4W99s5//pK7FLFDngyjXr0aulqTwOTmH4gIii122sLgSze2qOh21sa1S46WoyhtfPoUJk
LxHT2NebutF1T6YOzOfrTWW7SOo7bPj/11iKO6CmDerpa4wdJ8LMwniuzFwLEuxhDlYdYU6iNNZN
rU31FmJ1wdI3dT+lo30UAJEfuqpM5yWMi0CUsbhX88L2KZo9ZECr7wmIi0Nq1NmRwgisZdiJY67t
NN0ddoPMyaWE5ZOohvZqpvnBYY29SDERIi1ZfoI5dsjY8l9KabcHxF3eS5nbqzqkGihsu5hWIvE0
dlNKhK8+ZVN3RgyluLgjsWfD5uYIimoJDFcT3qwU6MdVy8/YNiKfL9p9kNB/wnJb/Y7eWrmLR1EG
6qK9UG7u2WL2tS+qbMJMoykPpqyo9KgIMmk6RDlC7102DOo75nYARrtsZVOQScoLCzy8GRn/pPUf
o+1bdsoAGvvI+lhGs94VcOde8wSRgnqqfpHLR4R2HZKR3t/cHBOvtbc1EIWjfQv1e7edv411vf7u
WoO8br0hqRYqTNNT180uOLUu3lVFNr6WcVhCg03GQEGb8HUbSyqCXcBRt63n9k1zSZriLzI0/zlh
mSwbOYwBDMp6ja0p9H+T0Yrv22XcGhFEFRMU7+uEoa/X8F7mp20Mv8fk2inhzcU5pJrRGYS9+6It
BWZLMpv3thOt6Qmm7W0sspJ7UVJB3YasalgucV793ub1bSgZl9lXa00/bN10bqvXmaz45xXKbK/o
AJU2zOsGcgUO+pLWqX1MW+ZXJFv+B3T7eUqLbKqphd++xv/veaT4S+CQhr7frvd14qAlj4lqHDsb
1LlRcKqekAw0T8a06uc0OE1sY1szVGr11K1NlCpYfejzsmo+Qc3574Gvk7VssY+1rr58DW2vcA6r
nr7GnLT4q2Kh6JUycT1HtulTpVMyjqfkP6++xoTSASKQ7nk7Q6HC9HlaGTX5UdEBw2DkOJKnNsNV
vaV7j0gEBSExw37rash07tmTwLu2rRZx+nAF+ay5wvXkZIyLYxrHgKrX7hj39WlKwJkg1cTeKxbv
hpuDb8PQ5bNrUlQ/6i3I/W7sxftUyvGIAHyz207OpzY7drKed5EJV37ohH0OJUGJyMjOqYoWI5KW
izd7KNmCufHH1rMKLXusdYKtlziheEOtG5WkrrhvQ1UfEU0U9XLduiCmTD+brO8NOg87fUKF10qQ
tVX6RAks13XeNEKjo1oS1G3dCqkX9NcIcraTDaaLFxgMl+1gCKLj7ZvObT3442zwXNX1i7peNOsI
dzvXLa/biY2LR04499hJhiL3tjHMO8MgblGhctnfu0k9QKJhiZu2hW1bmxwdd9jPMg7WjsrsG0Jf
jnbe7lFYzcF+RsmhRC3kLRrvdS2Lvas02T4fV93LUTxIElgUf7U+qEBlvSvZQHYqV7+hBcrqPpfF
u6VNM3E+s5xri5xY3LAvSwLd2V67gzJRbHHDjybv83cgwtXd7c3D1mvqUb7ZxonZMQnE0hxsUEFn
W9dd6FuZdpzKMH5vJzJZeUNJChqNftTKyPZjagJrls/2B5AuQZKb/Z401pobcwjni8fcG6Vv6kV0
dPWdWFmoQh3kfWv0/GiYyrNRym+9riT7yGnmZz40MhzVRL46Z++iGNAiU4rHfiRqqIY6GoKoZlU/
u3J4CcNGfUsjlCZB3HjSdMNHQV4ra4jVVaXh+5k10EVrs72K1xhDVOZTVEb555A2hclZMYbXtM1/
18Ixjq1hQBXHqM+bCXEvRVP8Q+zd/nbM+DZMhfZXot+Qua3FZukZb0qPgBzLzrHrgEtY6LLrqE9F
K/46LqUXOZr1bqbtKQHI+1srEIZTXnLXsl51UV2kppb7SiNPWyppGQBgqSl6J98I+prD4EBkiDs3
9kKYXS/mUGFMl4jkt4x/qtEiDm6rrej80tnNKjnCEs12LE8ckrYqyFi8czEQGMu3sU9XdmEen7cu
LgJPlF60K8x78RL2M3WofmzgahjTSyLNlV+WtntQwemxbdAIsZTyaAxZ6ae5kEeSfjIwV1o5O3Pj
ldCfP79Qg6RAsQMEFaQKhX6KWphM6V1C8kZ4pn4fle41WpiBDKbafRTq1dOYlqC+FK1+x5y5fZZF
ebfYrb0Pi6Pdu1bfb8cQF3UvPYYs3iT+9EzO72Zsuw90kT0hdOt9sIz5sSihtx2bEIIj16z6W09F
b/G1Gcjcr+/Dj2F5LfUy2Ho4tdavrZvt47C20EdvlDv5/cN2rHct9W6jhf/Zq83m3o3LyVQzFVkL
/Zg1+XIr1qZTRzweOp10Db26b4f94CgCLSNd3CZds9nzzoVHRgfNgG3QWI+kFmvMPBeXQpfipo4a
R8O5WwIzwULjs78d2hoKmGZbDbet83mpomktiqoVaVSsdY/jUJCWbOMKp1JLxhCGUA7butX6BygC
CN69wp6pWgAnojt1Omcvjrqc+nh+++xuRzRZD+fEym5FPvxjVml1Ksh43Yah+U+DAqYd1Jlo/P9z
YFTd6Unno3yd2xm2ZnjtpDUeAHKkRdarJB3JoElPEQzAeuDZyJxpHw+QKbVcjZ55kiAJiGGZrwnw
qm1sO8+Z6+h56+JR9wLjjizD+v6v8aVpkS+SQkGXMZKEciEmx3MYwzilKdOuBGAMxXLMa4rI61hi
MnsiBBQB5xDdW2GV73XYxLet57pzuEIrSza7HBy7VDkoo0jZSJf9mypK/UnU9jcQIx2gF85ogKWy
OX5snVhSYypktly3rtYB5YCMlx+2bj2X6SkcXZDD6zuR8SyelzH5/MPbkLBmP5F59Lr1rGIkxTqi
ibJ1kzGdAmGuiej17bGw6jNcDOFt3Vy3rRcJBXfrbZ+vi/RjLgr5sn32YsV5TVaqnLYzmhVYNOta
HWzdOlYXbs2y+byaKwpkkFKEoNY/tV0tCYeXvCbFS2GZ0pqllSq26608C4oFJJLnhrnarNqjKqgM
RULL3+2JOTqNIvsnAOKL5FUMw+TFaK3lX/IWHzOZ0O91D12Eonz8KNF18zDlqLyB/coNBEd+rCsR
njtjiRE3V5IjdcjyWCHi+awX6UeOPNsfzGBQaI+nD9up/5RFJbzKzKazhoXks5OCviH3k/w5UYhv
yeCzMdAiJ73lU5mCxImiCyXSQzotb2IpDQ85TuAbdS6euqWvFq9oNG5vntQhL563RhEifyYbagCo
+mmj8OgPGQx0Z8RkjYTmAOAK6DkcOhWNzR4Wi9tNF8Dyy0m2za+6zRVscYr5zeobbrvpRQul/iGW
+He5OKjoZ0/DXIf7WMR/m77InpM0Qbc2t5U9NH31o7ZSjaC122uOLt5jcaAkln8zlmXcG8pqXKjk
l0hxfxOuq2dTJn/NpPrVT7FJeaexjxqIUapsTpDWCI1NMs1RYIL84MZG9mOkSJTPlgMUqaFYafNg
Z83k7vSY8lIDEOC1qg5k5FNKfvF+7sr0kXeoE1Ml0L41S+QeLZfKJ8D3PGhi5DFNG7DSCBa+bYfw
av1wYH3fxlJ7xUXlDBG98ahCRXu1IiNmIXdJ4mUi36sSm0vbeJ6mH3pHkHSvOuEc56JH/nACoCx9
8ozKUVOoq8FpavZw53XkQULj/Buoh3rLyYDt0FcSu1KUnoFa5YnlEYlNEX1vCkc+Fp1FmyH92aZw
D7jbjsmY0ijmFF8nN/09l9ikTyPauctS/7tAg6k73f0R9VHrW0Pc3SneagcL18hzZJVk5ZPa2UWl
anyA/PyFSVL9r4kKJrWgv0nfYzBlrz5qVY04xNj1nopIHc4r0fiqVlry0oBS2Xpb01idtoc4T3Js
PWNrwloH6TK5lxCyyisyKhqwv/QINiJIxUjAo5nqY6a0Grg6te6tayGkeCtS92nrDaALH6MBGXsS
w3UbMmAfHOxENLvWybSHOxgdKE8ARGtvG9IMC8G3Ls/O2xvW1edksDITuyTHSgtXtc+6f8whkFYz
qe9bryq0KMidsNxv3YmdDfXq7rz1XF3rH4mSgxCwh/lzTJ9d7TS4pQDJy9W2hqBkz6NRvGxviBxl
DrImU0EjcAZRdfrS61Qf1qspazONJP4USAOn7QxS3eM5rFCB+rpk5ORnxFezz89cJGPlJ+78mFPS
HbOl6Y82tNGWk/E5L2JWuqpL/xWdQFea2OnVjsVrPv6p3cV4I6fpz4Y1vbJOGG/1VP+OM4QmtmOk
aFUfcUr3CGLUfBNaB55rwLV9O7c09Ojc4Mngb0dHlUqP2iYW9vIvrPc1YBg5F/grEEFARUtetwZx
lCrArrUKsv+O6XNSeFHjIt4t9OR1jiZQXqGL9rd5yOPEeDhVbzyyRWHSB9Ny2rqp4vYnbQEesp2i
jcJ4sIDNdpF8nl+2lJEnVFqPYn17E8k9cPcQQXS4bY3S269bk6Uts107Tic7Su3XDm3025Qq0Mx1
AGiVGcGOLhbyPOs7yAjGd7Tk2NOEXemD+m0DvqApANj8n+vJ/t+qUMIAZj/AKH1WXuHS6XtFa/vP
7jbWmXInNdazradGbXVYGgB2n1095F1LcQgBbjxvQ5OxUM7rU9XHGS16bGPzEp61kgdj68lOGY6d
JSvO4I9uzSDm5xpwyNPnECzI00j87xl2mbzYDo95h3aWmHEEpLZLpdgYo9etcdX4oFbGctt6U+i0
NxwiDpWeJ5m/tGsWWDa2tx2tElb53NJJnbVZuv8aM9zsr6uqLHpD3d41fJC9v3a/t6ZWfd0a7iMU
PAaq1V9joTm+y0Sdrij6qK9DFKZXqYl/vk7I2KegvNG2h68xZ0faf/q8aDuMCFYgI+Rbk5ivepK+
dJNb3FgDCzyxivMACeK89TDHFKq3vXTz+FXrzO70v8a2t1lt9Ut2YbTTavzpkYS271vjSLKENoQA
GOqM1aoCSJdajBx3GRzVh0zD+hFmNek1N00O21iRlOQqUyDmcVnV/tyEuPkkRXjaTjYN50dUoVJs
mMB/alV0Qc40G0R9Ih9yqV87EoVP6L3KR5UhcmvGSuir0EHxehgvdm8OfAEcjIFP7SikgpTShHyo
s0yf29Q5bQe3Ic0xNJL3rXvS5rG+zeZ0ETIe+D1H4701x/rsTrIHFTRHxZOM6qCsA0Ud613b2nKn
WdEC8Chs96Zi2E9DBkUjHfCjL0w1sETzrTXCCj78cA3r4ckaIhTbY2pS8BJ+hX26t2IEDzKLnU5F
BIDhenOcEgx7nBIEmzypQwRzQonBdKuDvuuIQfyW6KN0f7SpXngLKGEfrxCIpCGr+VbtAx8Du94E
g64q4xnExLsm7eQQsSCQ4FaBpANSHgb9oi5ozXWaYlBcgJ3kKId80j/YdzHZgF7Y1YZ6K/r8NCu2
cm36GnrsMDqnYoAAZxjvaTumbP8c9smgPYshdh5LYWnnmYo2+Y6OZKJReUU5d3CmPHUyejRpyNZD
J2p3bj1gurywRrIZflKHuxa37ssqwjdDYhBzY8J7jIyr2abqXhmRC66SDzRd36gI7ZJOq/eV6JzL
UBizJBHAy69mHlGAF0ZzQbTsGwiL6RSq3bCv8Xj1QGqEt6H8w2XiM3Irhofu8+jbpkHltlK0a0Gs
WliTejdyrjw2xXKxEJyNYkAihbIEFe6qIwTUY6uN8iz7UAaq6Yy71raja+7IZad2+rdowj8AxFQf
RHi+NOpS3y3gH/dGN9+VNGmO2OZ1V2QSwZWwpgR5a3fXuqrIkugj/K0l9KNmHq4ACY69RJCxk5lf
yvrgFpN7Ko25weEJQJQYzNgzErgRcuiPVrMiAqNeC8wRHywAwr+QavrJLFccTarkPt/W4AOH633U
2cjgcd+IVgGul3XdRaNFJwG4FloS7Nh7g9XeELBt1F9Nps/w6kx5GQEanJQ14WG09y2i1tawmhCF
26inDpLHCLOUGJydkrFT3/Xi5yCUW57D80Ucxc/TO+jlfxfHaM7U31RWwkyiuaae56rRXk0YHia3
PeVeIccM/I3d+EYZJ9e+bKJzNBFhFBrP7xxXPvRO/AXdcb1764KUlT2gSWEn7zP+AIGRkUMVjZSH
WMy/nNWAbHLwpyIV2MWkQj/BDi0ENzkI+xQNMY4QEWQaDV1OrZJrpuQbRIDSH9PkT1vUmMQm5pG1
fMhArCBvJfd8of/KHIuYiTQ81QdMObrGeiExonsp6LIdlqMPDG7hmDmtwUNsVKdYMg+miom739D6
dU9OQJYvaJqq12E12N3Mc21ztijVQ+0ovViPwsDsQerFms4ORbF75l6rDaIsc3xAWfukiv4oVB5Q
YkhQFCKV8XuwxvqjQ9acRfvYlyG+Jw6cJj2iBqJO0FNdwuOnqAXIs9zZkXQ+dc+mNrGBzAtPJQeZ
p2rMn7etFUK9myEXP08uCXap9zNV4egVYRWWz64BoRSiFF2jLHWdQF5iRgQ2i2QsgHEVDo/Zkbxe
8mgv3FV9thn+RE5YIFBmAG90dIyD0ZgCeBge4sVGbx/CvNdrUJm6vyOkwQTYb9BiYBlLYZN1tj2z
7FQfoekqUKsehHKvYMCiqQrykejFRFFIYaF2HnMzv06xaK+kGvFS7GdE0YruGfbyK5nm1rPQkz+5
sw4KVA+tky2csxIO7lnJQudsrTidJu1/to57rROmWbPFHVTNm+a4oLDUaTFuzJVzaPr+B94HBpxg
EQVKnc1PI15FV5vkcbUSiKNcf+S2cwH/MBNlr6Zw+vhjYtdOdiMCvoRjoG70oddWkCiKtCFR0UUm
VbfaOjZOU3lWJroD0PUKUJxrAbphMdhDZj7bJUUpvUJzC+nYR231DlmeSttlaXqo5848DLJx/8nd
N7hMvdqFvxchd3DeWUvdFSKj/E6MwS+tIjrrUzT5eqO2O3bq7nEAeHawwIGCO6EkpYRs3noI97ZV
kfRQzR0R4JM7WeNLPqJRZNNDTAYzYTN6KwtFXL6aZqzsz64g8j8JCUVMLtbNCokd3dECx+gUAD0b
192HGPj6sYv6msbU57Nl9nQ14lEMTeOyyJSyKdHHn7zUgzLK5rO6IN+EUNRdS6O/1uoQBVXnionW
djOyO2MhXptVPMcsJ+2qmrK7jwOew126ztz03Drq7jIh1G1kfqgjG9u73OZnBBN2Ujr2H/2QE3lY
yUeW6+gcmtWLZUxiP5UJ+++1CZ2nxe3hoXVaGrT9Pbfb7ByzPTjnoZ3sjAoCAGzs5GIJ865HBuwN
d+KOwgRsBHFFfi8NRkXeFz0kuUYOhvsfgTOtOG4YMLFWpKEKA0s0rdXrCgTmfxulp140oG2K5yuP
aoykVliD1JgKtyPNgl+Djez5WghQFj3Qw7PSYLgFR6IPMheOdTSAxpqjcWbHGfJeUiNXBKVP3KjV
pTXnl9VpHGpHKHYTqjQ+dpUT9xx1v8HkxzJzB6CZHefwSnqkJxcNdJFrVhcQGcdxhpECXOnWm/1d
6fB/Ks002+l9Uy7+hpmLVwK/Bf4ssMe5hFOwOLcp1zRCwb54dinNndO2+ViAG73jtQHasPoZj0n+
rpZ4wbjdH6cKubm3LIG9pgrkorPTybmhbNfRnrZmZgkDYOUqu3A7Gw3wiKByaxXAniFIgVmWmNau
V6gW7Q1/6PJUpDVT9tTbO2mlwEMoKQCCqxa/QjEtsSvBcyF8kynvadSg9EqAAkoPsCpr+XtIjoRP
KQnWY7bEHzFScIiP7nFdrHe2PUFwX/FGALR32Ow1Z/R/cwX1Lfkv+5ru0o3FQU6SZRJUYGZn4UHN
IAl18DilPNnx96qsjW9IyKPIOb3qWWQd81F5XUgCrPRW3NzN1Xgg/aH2xjF1p5hq/c5NF/cUJ9Yt
pZTm5zqySp1aIvxngBgXF8fU56uWp2+Tyi41biJkFGMow6tJUxOia5O1/D2gQB+fChBRIfu9oOAN
lqsWn8IR+fxvP9raA9iugzS2MrMRMJmntRVXX+ZDu6ty4b7AArCf1fltAcH3YgBGEGXU7ps0+1YT
GCBfiYXiUFNM3bpLrhfEfHUBQFPB5bh3YuInIwf+Yu3KqDf8pq6GI+yI6q03ZXvE5tPyt66e2S14
Y2l5cau0T4TL/D9dL3Z6Hf2ZhTIfqjRfLgh/vAwLYG/TEdlzhJTLc9RqksowUpj2YOeBJUVzqKGB
GxHsDCVDYq7g461MDWdEKtiOKTJWuPAuUxGwi342yHMwi++K4rmPAYv9LMUbpmXdqVgxM/WKq4tB
WJxM+zlZcaPSmNUTwIh4RZJuzawnH4pihEH636FtfDu9WB87ea4jvle3g06HQ3hOuwE9Wx3ktCab
aBfuZ9UgMIzf0hakQPiY2ijfR9B5RWfALRqnB0LlqBviefepq7FhhDbcUGGyYXBSGyXvVXtjO/D/
GDuvJUmRZWs/EWZocZs6K0t2VcsbrKdnGq01T38+nNmbOvXP/HZuwkIBmRAEEe6+1ur8FJDk+Mfk
NsEdcVnWfGSxyi+RrLzRVgWW7CLZZMaCBAqLvzfUBdG+bqvDIFQq52kJKWQtS+BQT7h10KD14O8S
RVvsCNQGxGId8ap8d5T8kKiB8zL9afYDUczLjWuWM0pui0+00VqfjxKqKJXjnE3ZRXpGTsudgRYx
+Pv4djmJ9NJCddrZTpYe5FcmcE3jgIX4bFH1OweNehaGEcfbA3IfrsRw/uqW5zeakXPJYaMWd7Ak
idx/yaKqHODSQvhOillWncNS0dGfWX5TTtxngHbGRS4pP8MLnsKoGiAn6aujV5Z/ynHpGIAxXx7j
+oSlUuKlch+vi7WARre6sdS7M1QraDIR9LHG/spoAHaLh3qc0vGo6vVPiQeWZCCMuqvB12FPhXIk
qwYbMaLKSZnj3eYoTu81zitUgx89yMWj16B1D40D0MY2aV7l2duJ+zRg9znNtcG0bg0RfHss3XFv
FXepw/avDeFs2x4ascM6IdRNcJDHJU9DcqXm4taVrIwCK9R9/Mrdziv6/A5dR4/oM8kuCUAExoZy
rjR2UfALJjOBCIQ5p+xo5uO7rBztoEhBJLJr5Hdrdk57oqHs6CLXG5sGG3VziNvk6zzqd3Ln1rsE
tHRXWOl0kHstdyVpC/b/rQb5yhJiLc9EjpCc1K3DQcqSGCmKIU0XEqIJ6ePQfZIHvw5NuTXbaJCW
GsvnriKG/SC3Qn6k3tfcnzYo9D0WdFa5VvVHu8iGQHe53l8zd/qZwCvjhCC8xah71aq8BWkbnvIZ
oHOrT5/0ZeqQz3YW2855DmYigZHj26nAOWHCbeATspK8+H8u/O43SBbZK8DueqivPdenB5tMTqSJ
oR9kCpDvewfd+MUmIGv8lILlXW/uGk7x7q15F1Tx8Q4auPGKCNTk3JyMMNfmY+yGP5QuU4/bHWYS
vNMdF0j3Nrmo/XOGiOVJfkvvV08p6sgnOBr7ed9k4X076AphHss8tLzWcqTk/rXO68oZ4oAwOchI
6OP0xBKGrcsyEPQRaicTjPU2fJYOdjXTwdT3AxRsFxnBY2cNlym32JZUx9wZED5yl+DKf72uXaRX
PyRW2MsNwhWWgJRt7M3xg6svAYxGYdcLvQ3T2zIty0iS4lZXYP1ZZiRLn52j71QDMSvpsxMozJHS
X5LtbX03RNestM+VN1y8xtzLSFgPQVbgrHxpGxwEMheyYW/OMHRftzd8G8tSJ8VgGYVq358agvTO
oROdpM2UwS49tuM/DkEpy1OT3HqMlNfsh3Ypfqhbh21Z2fbfUw+ycjj4U/MagJXbpYTHFClBbr1N
hPPy4dA9gKaBzkZ10k/oUOCnZ10gT3ywdYRBnad8bl8c1gbsD+91LBazWuxaoBM5QSlD3d2sJVZ1
HsuXfHC7k2nOLCUaXT2oQYHtpodgZoeD9yTIgilf5CLNeagPQVQ+OVn17sHLVWUcrK/TVpbKbZhs
Y0W6FEPaXnrkB2UwSlIv07Xk9AT4khmDeZK7LycpiGeciFlh2PU+sPq9vCWg2qmV7LvawTW+5RYk
SrJvmVANPgKq+24LliLkhnWxkl6xgwMNiZf4hjHRP0c94e7QmBzlHksijz1elicQ5bJHntI/8km/
82IjO6nzeEvMEoIyr7vIJKMxa7dgdkvYcw9hEaxfAKP9E1B+dpUTypOXHDN9u6Bh7Gj4cx68Z+Tl
3DVm2U/sVx/Ns1MuI2KbDFRNda4ct/0+vR21Qz8BvN/uYpk5zKTJ8pnJ3Mw6+BZwIQGVgAv4Rlyy
wUrcg35UuuBbA3JiwIsyatZx5TGTxRbxutV5cp3rRGAO/twz8Eg4iiN7n6EYtq6u1l1UpAUFPjdd
WydhsNSPtZEYJzm//C7fjsZrqz/NRt6eVNN4kae6PVrJ5V33KzamaDcWBUz/QMj/3qBtE4ci334p
rws7tqclijRsH4jxP2qZnYPOb/PhAUJ280JoWnUnqJ0h6qo7xsLvMsyy9fnKk9jmmO3B8IH+C+3x
nTl59cECIA0thmOgcFLwErjM4AcYAo8lt0yejAzrQMX2aBEe7Bfohvx3MpcO24y+Pcl1QC/z/XYT
tlbJSZf//6lYq42glx7kfZKVgvwYKa5r8a0subVyjpD9YEELMYMsdJXOvqhoLEoXuey65JIsCpu8
amsWv/bfYfXrh1J+57tVxnpsmbt7wgLucQgij8GHXtavOEcwXctrsojPz/tgMn/AtYI9OeyTS9GE
oXqU7mvWX76gEcEgXZCu6zgZqbKi25KtbpozXA4aTJEaYWLLIkz+zpasUZJSfreWXX99OY8gcR7G
Al63nnxDePrJxks17+HrLXBC/eHKDzHrO93V1avcbFnUSW6791sdjiA4rwMAIFtnufpW3I6V3PYY
t4btfB+OjfLPHUQdzGHMmTJxQuFGbJGU5c3jjids45f29cfPpVbsImVQ3y0j5RGuI2/+GQC0v8pw
jXTVIWh6eQZh10G5ISPln7Ny9DpVEZTTXNwyPXyEggQgRbYt3AdMiAA8pHVr2PaA0iDJ1k+Kg/9r
0Or8uv76ZSSvYI/tnVnXM+tgllpPzzv8J/997yS39pLsx7IctJ71Xa+PF/h4lKLh2GjtN22Galbm
lW31IMf+U93WRVrXdbZkt0Sex1aUnBz3r2d9t52R3tLxw6X+qe7DWT9cKVgmfITm6i4E0be84mg4
46uo5nWvKi+8JJhSAGcCI2LzvpjZtmSrmzM0QYHf0adqDbJrJ5lu5eRb13ctkvXNgAghXPDriJaX
ZXvjP7xU2wu0vWhStx0mR/xr3YfD/un06+s65wu4v4iJ9hsPLgptLGuXtbB8uLZk3clu5Xe2in/q
/qFu3U8sp12vIOf50Ge9wpB495oy/FY7L9zL1CB7UMlt32iZQ7ai5LYF2db5Q92HovTzewgD+l9a
DSVCUtgA+Xg58b2zvJUhvGalVsozpmy21VmVnXSveN2md4KpgI1vZWVeYORSlpmftVCARcnKLHc1
HfmB1c57mR6w/kPJ2sAM/DdcbZ00bBUbgswuRTkDwoT87SBPUpJtupWiDAVHNv1bn20YbHUfhtB2
mjFoUkwWLkivQZ3NQ+fo6byX/W9CgAHmomR8C9ohOq1vvNyULVmn1a0st+tfi9KwvbpSDDCk/D19
S/nDGaRuzhJiJ7SE12ib7NeF9douz2c7skGrhM1bdrUwjBiLheTdznHrJsdKIguDrSi5D/1kEt3q
3v1xaflwyOBVynE2HogKfK6BUqAaID2wlBsakRzLh6tEEa99lanLz5Isu8idKZM+zy6z6uyazLEu
8oS3J7q++++Mme+WCltXycnDj4oei97aaTVy5Q6kJ0YcQZOiw5U9zF6JOwY2F216lFd0tVPKCBhn
PW6+yYv8t1WrVoMj0tm4Thqcg3meXRMogkGJA1qTpG7wVu62sm8FCvxnobUrF95hZ7YQIGNC3iwf
lq4FZ1P3b4LZtnAARCrcNXJX5bnUGVAmvSreyhicieDJ9eUBzy2kO+1qz/xw++WmvntE69Z1veuy
Z5Hs+ppHOCdnz5yOcpflslsiP2Aryo39ULfu6qTlI5hz6ynN21/Sw1Df20jr7ZAxRCouyP0vXRGP
ZwMiwKMOYpYi0DMISIsrOpO0Wjq+M8OBpmdp9TzCPPUkQbupDl4jLTtryznUpM4eyqBud9Jr7rLx
osyleVD7jCC9YSh2TcSrLomXuebe9gjw1Igpuk8T96RGoZUfoQxCcJmd/RGrJFHDk3Nt9KB5ApOF
rxnSWIDnmYN6Uazep/74tkS0fwoApXwCf1MfYI0bYeWgKHUZhEdZgnuiHmGBiO0q/RR7DsyCZvcw
xXAhOIQtnHR8+2fP8ufntGp+gXe89KZWfhlzE1Wt1P+RlyzJa3Tg7/xAJVI8a956b7Z+eljr8ez6
AQ4HrYUdZxh2QVPXX+uZmF625OVnXU3tPYw6hFdF0HapxSILYGJKnnOrgr9JVQ8VFMEwQ5XEcSPE
WD2OSwumJMQEBhQFwkQ7N4VdPs5TUj1KTpKsKBx4z/IcYmGM8FYRB4eygn7In4bvJs6zc6suVH6Z
WhnIkcDEcVgMwDvXZ+cWFzGs1yqAT8NHSFSFwfDQZgUxQV47sB9uCveOSA3cax7G9hbWr6mfoudh
SQC6RM++mvyAVlO5SlWZIdIN7yKsXAXEZ4aFt8YJnhvYsJ9VPKHPqaJp+2kcA3YQNMS2R2hVanMv
cyRF0ZDdTcPQPWpJ5z3NS1JnhO3ZjC3Q1fTYGkI9S/da6aCKNuCdMSfE5sZRhxfG/2tKovlxLRHN
AfOvw5jbjq8iy3uCZSbaV2G7g/fUODqaZR6mqcnheCOYvjA08852CHUmrFU76LaetDuk4KHBQAG8
9MLyvgJqd98syVZkfJ6TAhvqALWRDTat1O/y2UyNvWYa2p0kxRT8p7LoK2U/eaDcvTDF2AypwVvv
EzDq2mP/PRnybwaudOLCgfvzbpngmYlMJFqhqGCJ6ee/cHd+DfNE/z41CdEKEOK8BWNG2DU8WE+z
hi/ZmhLrVrl5f6f3cXtJ07h45BFoQP5b9VMzKgyuLDUfVKN/q2ENenCj5Gmwqwboq1J/inscRw5k
j0cpSgOu0M/Qr+fHetz1CHfspqV7rKWI8sXEci3H4cGmylGA3TJnHN4dbOU/nHQ2b3KqujG1R8cL
L4DDUOrMoEU78cGpDtsvaIPkdxjOyXre2pjbp6Zrj7kKrc3eR2K5D7JXhApnjPZFw17ZNm8ALZpP
YM/7R0zHVykhtNt+QrQOMFQ2Qta09JA6xyg/HpS4b6oLHxeqgQRqA/vBYrFkFRB09/Cn9ff1gFm5
TGE7kQYHJosrNJgJ0WzcCt1U2jNkm9peinJ7slRdPlUOMWHL/bHHkUCXalnoxWd7/L3+nTTJ/bNd
1GDOlvsH4TQRednkoU/PmBkHE+YUyUpSBTMI960so21soZB8VynN0tIB7jgMTwTOEIEXwHONrf4n
/KFMSnr9ra6D8NLbQwDHe1j9KMuTtMdDWJ9SHdamalYcDNaKi1o49sBrE0TBfbckQwLviWv453cN
fZ8iJ/Ml8O34CIQhvpVjhobhkkhO6kx22QWgABjVYi1q0Bv8l45yyNp7O7obEQf8vxySugPxFap2
/niatisguX0ZH0sVa+D+w6+T3nKRqSj15j5tFxwFbkfTakHAwkj5EC1JDsHEgxQn34exMPIHwOtq
jHF9aS5VmMt3WyfJoaB348PX4Ufm4NjFqhKWlYcmxqQod84Xi1B8mKWk9cOhUpQLt7COXhyIwNdD
5Wrvjsh089iVBGh8bFh+1VTGgB1f5sL+liJPSuTS7Ka3dqrSmztGBJxoMG92GX5GFW/FMSlC7VUt
w+He1es/8lBTXwe7UF/1sH7smGAf8U2DdIF0kK9fb8D/5dStfrMJLfniZpwKZ075kMJm8CWqlK/g
kYMnaTTL4MEvYvtZ2ogUPqYA6j7lS8+x/pIMmvmm+VHxWUuu0oVvTvaqNg3wy8ewTqf7PtDSh3FJ
IPfTh52Z1GTtZt4xZxONtxSlD0BTHDm++5eaDKiXutguQS6lXzKvhkdbM9q9FI2+GS4GqqmH0rRg
xN/ZVtd/QvQK6iJr1I8RgMovTY8sggpe77zgK78QClYe7Mw3LyOSmc+lPb4RQtN9t8qfs9u4Xy3F
be+yMoI6yda7781MIIXqWPkzJDpw6Yb978Cx2++EbOmHOUZF3G78N43gMzhs24F4T3Jx2B5npGHB
C/+nCljk340f6nTLISo2m+/LwauP6LWVMMw5xVumWPZdk3YTnNt98aaDmP6E9PtOGhXC2N6IwPgK
kld9kCrbb/AvuEN5luIIm8RV86ZkL8U6ds3nGS+dlOSM3aA+qHC96SCib8E0E5dQWKFxq+GKARZd
+7Cw2fkDRve4OxCLB60n1LLHyh+cO2npW987mtpgMe5QO5l9Zh4IY6IvvVr1ezA+0Z0UnUi1CVOI
+psUbYSI0IHU/Xspzsr00+Wb/yilqc+ema/zZyMmvscfg0sYDcpLmrXqQ+QDIw595KqGvHom0OcI
7UT/Unrt5yRu1RvBCsOLrre8KjGs8lXi3ksHqYcX8VQqdfYoVZKYsBxFNgCGutMRXC1Qj83s4EW6
x8DRnnPzpWmKk9u5FYKF9REa8/JmT05xizrAcgtZcHlTVJKmq1xoZtXpEHuoaOl21DyFmoMU+GS9
wRCWfletyjvCm1lepAhGh5B6vfhSmiOUlEZPLMHSTesnfwenH1E1+Yi6stoSKF6l34mizs7A8Z2T
ju/ju20Zt9xVrFczzJyHMrEIsFi6tZP610S05JVPm/bAsk5DjYicuySzlvp7LHgN8bv/qdu6SM5S
2r+qXtfO/3S83hIA09nxUz3OzeOoVIRLFy7Ud0R1mXyJ/spV/7M5DvaXxhnhB8r14j4LDRtm4yol
Im6Yv/aV+yJdRyO9ryPD+1Y3uXpw69h6SEsPAZa6hi0FXtjPwJF+KZBfHeNi7xI2dK+WvFTuGP/s
NALELMNtnjyzC+4U20nOURqqr7Cq1Ds5vTN/U0uv+dXhNyKMyIzhYZyMCzbbEtbd0nrxbDjHed0d
iC21fJdkdQEzLhxV9yVz6r1dhofe1+O7GnLyvxvWPtJcbrXgSAh+hsb/oM6BGh+kPSTu8V7OFjsu
lXYFnLByzOtalGbd05LxxKsdrT0DTX+xzMQ6q/YAdns7heWYN5vw8jsntJRjqhU6slSDc7GI972i
ddPca4bpnOwkm54ndFwOfas2n3kbVUJ/XOcHa+cXuHmU34335g4JS9KxsE4vr3ZbmL/AJEIWaTLP
M/p4abPEAaQSzMe6qurHWG/ri2lUw13kthbqvn6JLEHnwI9FsCoTH8hMvYQWy+/973Ewfk4iU/lL
IdJyvVCWa1DFFdafUzr8DBXF+abZTQbbsTa/hjbc4CxRgicg1O45W0jFVcVPb30aW2fMAemTCxSI
GOfGwn7GRGb7c/idCfgH4EPlTz1AB5noJFbYLMKTwDX/ymBG1rv+LXi1jKb91HfELMNT3Lx5LXvC
rq+0J+I2OsJzUFgCd+UcMK75/kXXDTSoRmehNFDT7DZrXXaTnOPUuAChQHjoEmhd0K/5pDmD95an
3jdtipUHs/c87gH0vXWY1ndS7AyY53In7q563ENMpbEuu3YloW5F43qfAwDpu2oI1Ye+Kv3PUT1/
161Af5TSvESAO7r1JF09zblFmuU/Synsg3Oblukns9D9z/6ML7GwmtfScJzP/nn0M+d7zKfy3I5q
e3baIfhR6Od6qO0fJRFZSOZU9WUIhuIbMnf73orcT+wj7xF5KB5rX4E8PwC80fWhtlvrloaowOOM
su6CZBnPkB1NvEQQrxmR8ZfIHVqQqYVO0H3eOjRGbRwqu7NOA5KCj92SMDCmQ4M28kGK0oDDtnhs
ZtS2kKy+EezElYOuIroBwdEdtrvi0VgSGyrem6sYD7lTzZ+wAnzrymj6MUVLoEcLngMeKCj3Uv1b
PA/Tj7GOrP241EdL/f/u70K5tPX3XZ/zEJ62bwIXwrf/nH+r/7fz/+/+cl29GkBue+bRzK14P7Bh
fymHqX7RHVM/20sddBn1izTkbH7XOukCUWTzUi51H47lywmdleKdY51voiTWgrb0qkY9MTKyv+tU
5KO93Dxt3aRxjD1vV9fgDYLySclaC8AkmK9Rq4fg6PCuH3p4bA7ZqBVPkowmz6vov+g7ramOepio
90EFEI9JSgowtKv37ZJI0TYUQPdrOasOPds1uB7/0yr1W1GOkDq47W55REDbVrWeaSunTHrz6D6V
3K6fPfIfMJJ53xPwTAyqMr96PlhSfXQ+TXbv/TQgoMNa6A1PlusiOJrAt1KkaoT3FTQxwONrUyon
Q/fmrzAyDOeOswrh6RdgWVe5RpgRztdXrfWAErb36Hcajq7l3IhXPOnctc/EjVioDhjGSW/a8U6v
Qzi7/6uws4rrWGEBOJfNlzRI0sPVfXQJsgKJ3jtXMzVLyHVa/yVzEuUFgujuoF88ZMSSeYbTxYA7
BhJyx9yxBAEXE4/1Wamy/szmD1p843dltj+gGBm+RjFK8EnX9k9R02sXNW6zqz+m5mMY6GhiKOX8
JQ3T3wQdZr85OEQO/k4xTdixkP59QU/mbIxd8FgVTfNSLImhsjwMC+gSlw6GvkCRGkI2rLZ81FJw
8VAmq8fBK7pH6S/dEHg6Iho5IYAGOU2yaLITMo+WbJ+8BJB1HNGlTJ8hHUIgwkIYzejU8YQOWv1o
BV1yroDWPCQZoApjNOd7xyWyGHS8fXOyIboWUBnfPDOyrpg9ijtvmoe7rBrHq6JG5S0zCoR9/D66
TxofiqfBce+TckLrtcZIEnWJf4rbVkWBQa1PrleMAF0hXYYAqn/GP1Ee09jpXnzYnuANJnaQGYdo
oKrvX+cOqR/Ence3yIIeuTN3fRdilAoK9XODD3ofjqrxZXRduLzhPf2K9ky/q6JpfPDRoYKCOk8P
1RRGMGHBH8e3CcCHn85/JI179NEj+4b3uoHXJlqw9nP0Sizp78hW5z+UxPgDwy/wcivAUB64+ilr
+Tj7g3nulzO4MfodxIGVSDyMbKjsCZJOQkz+KIhL1Dvzp0esAVvAbLjBjTo+14mjL2z8M6Rr9YNn
TR1UyLwB7IzKS9ZoEMlA3jc+xrC1sCgfL7mpRG++4jmPjgaaVoTgQ7MHcmf5w6VPh+mbabN30rTg
zS14U7QpL6ANUMdvEQGAx6Ac+oscpcfJtTYG7S53tOGALbG4AxEUs1VdIoMtD0EOv92tVeYEIaJ0
kdy7SntpkcqPLVv3MRN+Qi6wnUfqqsoFh4YDb5+hGPholS1Sjq3SfekQsLwbfTWDvoJbksG3jd1y
AOmxFGG0845TW6BzuRR1cwK0ZFrFVYp+Wms70InxDpEHQHK2w6ZgSfQ8RO+pNKfyNnpJhYIFOUm2
PpKTOpTG6d3ohCgNOdFY/4fjZgijSgDq/+vcUnx3aQcdgSsrod27uu0Quf4YlfNdln5rpjB8Y871
d0XsWFfdB1vR58ar6jn+2RhCZT/nPGbHK+JnuyouUpKDTMN7bbvMe7As5QJ10fzodQ2QwjZvv/aj
U+2MwQl+toHyBqDI+9PUtFPuMh3AA74PtFyP6AApb5fFvzFmPMEOEv9RRXXMZ6dpvy1y9/vE6soH
7Nw3FRL3B4AC1UOuVeEJOtN5l5hq9bA1SCsLrL/7mUjyFK2zV7svhMig3LycQQ6Rjluxt0dn5ww1
Psv/XuTDqZUxAS+k+19SYlQhzFwusp1AiumgXnB+xXcHd1Cc+24MECBCOhTFF6UPgZDozrMJk+Nz
ai+zr1YQYWCG7loH0hdJpdS9OJgKHhwV4ZJYhep/LS51KHUPD9GSSB0hmNoRXTS8IEvr1iD9pK6q
1exkDqgCSLG1jfwYQQtz6OIJ835V/xEBXPAKtf6uBRPwt76cvjglm/Z6avzXfM77A6Fi/YvexbBh
OmP25BqQqsSQuD1MVj9cCqJqYXCMiNlHtupqpR6cIMssPjhq9JinanXK2Os+q3DtYjHAep1atYJh
vcg+8+vCPTZv92tiw4Bizab5A03Rb36T2r9Ky79TMWQGMOGAa0rqhKX056Jsbej7MDLg0Oh+j5N3
7+d58cto4p+KiZWa2ZIAeqKGLKtHDcuEasGC0jObs+GzXw8NnOZsIKR1dMLyFmZAAaU1R8Lz3u/n
ZietcRpmaF7CKSetU2unj7Vi/kiWM+HxyJ/SunqVtth0sTlBtMSaPHoqW1V5jFESIh9Yc/QkOUnU
LPg+62p13aokhxpqeIjR8VmP2lpVJ3POMY6ondQ5TQjdpNuAO4UcdL/1266jDtlDYxb2nT/r9J1j
VKlAIr2OiVfiIvJxnmipdvPcTrup4KjArEfaOZ2hipEGSUYX1qC9svSpFWWqTtsxmq/8KucSZrv/
nuZdF8uJwZDJybez9ch07HtnKg/reaXZT2Mu8a7nbCvKHjks82DYHkCw5fTKUAMRBMH67kBpWC8p
PzDMVP/kmeaXtc6QX7BdfPIShqDvdOq1CdvDP/6nrfff59X+zAJ4G9bfsNwFyb37scuPW3+TtKwX
7crsKYbYFaj42Wpd9VYs3aSDb9aYeSQrLZJMcvsla7od1A3DHx4eoQelG06sNpBTG5uHJomqfY2A
RRABNQua/KdVNBMcesQ09urVDv357HjdX4TlTocUYkU1+tXrCdKRpo0ehQc/mDd01zBt/6wz3zux
Zrq5UJhGlR4dNHtaqGy9X7aCRHbc7ZSaiRyiWRM6fNfDxtigbuXWyRf2mRdAeJ/Npvd2Pa8dvB7T
W+1XBBd3n7Vg5GTA/GDETh57tbl3YvCXFVFPGHSOKdatwtR/hsVwr+D1nAokEScoGMrF4VcoOB0S
8L4XcMRsU73kFinaS90myrMas+Ut0TN6rvybyVoEebmlahh7YFJp8rDWaYi47OZiyK7bUQGWvENW
Q7mEbqryLA1g0H62M4irqu2Bcs6vTfXapObwPLAQap0aLvScLfkwEzICeVnMDwk+KyUiKyjkIHtQ
dQ7MDu24G4Gamh7xhlb62GsjCmBLMqX+Sz2A48+KmxMMFlH/JAXW4j0Ys/GkF3CNSV0OA8N5RmUN
g+l/6rqZhQSUpvq5QkWvcC3/KVsS6Ci80qmeWxu6prSFF2dkDfM8L0mUGuXFnZxpJ0VmEOM5ho0C
wFCzVm31jW1+jazWuJMqV6l0eMnGGbnQpjhKnSSG7uu4ieBslC7vGmDMM6ZmvbBUW3qBf3cq8qtc
WOr8cNjZXmsc2qnGY738SGmMEjW/WTYEhEuVhVn90XGUwxCE8UtRHgsAwc+tpkUv+Mx/j1HlXwfN
eICIPL0fEat6lsSd4fqH1so6bXXp1OeIuMHMn6hKrABp9A00r7u7xEqsZ4z91npsF9nHufBRPwrb
Zp/nLps2P0VjaLZK97yWUUiqTnWRmnvifGkPS0u/LYvnuHGfZo/VQT9X+Iqqznz2vER5sqJbsBSM
KP47Ga36e4fV8m4y02VbCN4H9T8CM7Z+YwLLUToz9cqJHLWw0a6InhG86x7LYjqsI2ouo4BY43YH
K3LzVNRZ8GJiJHvR4+K19IPxJt0kYUmm75AFKi9SlL4aLOsHqyJyXI6SOhAVKZCE5IE93Lj31MB7
TnPDe4aXe74zjO5H4NewhCz1upP1KEnFOz92Qf5LNxgwr3juwwfpwcrvWY004xbNjL9iitqLEnj2
M2BR5xkFseqohS5aBuPsPEuD1kLuqZY4Z6QoDRCmmI9VyoIR5Q0F5tiwxZVsGPs+Yv5Neut+6xti
O0XMrHHOqV7FJ3ciYgI6y/ClBA1xQJ4lORoOzGh7p638k+EZMIfD3/IC1XP0YrYN2FAjwX4wYg91
jRRRoUXLRBLWLjNqWah56vPIaqMMkMNTEAvxF6Y+H+Lhv3NLEX69r3mLlh/aGh7xd4u0io849J3k
kGvO8F/ftQtKqFtCGCUnySCBkkvCppbASamEurY7ezoe7zGG8KWY3sI18GqJ81ZZdtffVH3GzNKy
i12AD1vCGhmog5QzQT30ZvbVXIBH3YKkqZefgDYRyCNb8EdWBbEbbJAYBeDdvZNEr9pxRuCoXvg3
/pvVU+9XlOhwYDQ5tI/S3PczCFHJxtDOQPmfxLg5IM7HaQfL3nrH3AkJkgSekdi1cSHKXVybIXu5
LVaZM9wnyB2AMAO+YB6VyVCA2HV/TZ35pw9bRFpU5xH5r4OlvQboOt4VXf/N4bbeIuTATq1m/ggn
0zuOS1RtwmkK78aMkx3l/253W3LyBPBhhUcz4F4pqKTd1E4/1ElgXlqE2u5soyivNpuEpIrrnaJ2
58G0P6f8a8saQegD6lB5wgwBrWZN7kJIPyvWIa4BMS+gtHyJuHaWhyW5DNKGYwUtCN/dXrtrYLYI
KhtHl1HCxJek4/27GwNEmftmew0Uio62V5TMx96Pwa0KrV9mFipHw7ovhnq8a0J7WBPDjMY7X1/u
XDb9yDS9ugPyW915eQXpuGRz1+u1o2RFelVykiSOXxHt5MGGscTOF4scS2lUAHRYdPzjwCo9J79G
GUQAC0Z0+ZuSyB/eil1mwCyjoZvpLximeYlRlNtRCOZUsu2MwSvPnOmwPRkZp1tRcp42IG8FgJfJ
u4AnkMRYwv62xOrM8NyZ1i1ZYu9lHEgSLcUBF8dpjpp7qSp9C3GHwGU1IrIGvSga2ErP8+2L4lOq
NTXqo0YOBmxBja1Zp9OHawLJFyB57unCD1GZyBhIIsU4goVYi5TfNUvK4YYwZLubG6dHFUWJx5vj
FgcDma62GKddkCGtG6JPfVDdil2MrvpnbD9/eun4ppULsS7rEXRjCwTngNJPuM6PetaDG00esqIK
d3CU4Sidy/DeJhbmIfC7Pf72ZjdM2WOm8YnIvco6eLCs3tSq3TNllLjQsSyWVXeFbmDZ2s7qC+h7
/TIPKAjZLpq0zte2bvOTiROGKPauR4ulCU5RixAlSuBKn+EfIUzwwAeXSSN+MnXN3k/apBx9pUUW
ptdPcP9DTzd/Nsz0mpcl9jskiaLG/F4NFZqFU3qCfik6WgD9ira7D4Na3fFxBJkcFsWhAZARdvcQ
vxJPEuPSVVRcr0GMUQUs1R5Stug0VItGdGsQhYuJAuf0fi71AX1jtzmUUFQ0LrbGfvzdONwYt/eQ
SuH4uffugymJ9xECW34eq/CaIlEaaZirexXiWwP98wnRzKr/HfsgslUiqfbjbLlnH64bpWwvrR5y
E+Chi0ybO22GYMWbwSQuZvjiuYvpEiFI1mPNnw6f7mVu0TS4Yxz7midnQ5kAAivE+3eDcmZFMe/x
P/5g8Rwe3Qn8fqnYCdxEhOm4M2tPE2yOCz0a4Zv88SD3pkvivoxQIF3weKr3BNOinuGiwKDmPOgS
lC6Y+S6AMNgNXBWtrc6EcwrUU6j8bn20ZerxYRlBemy3D2k4/2XRuM8bPpQVm2zF8R8LvftVZbAj
6byie23oEWuaBvyNoYNijhqbBwyi90XSoIBrgxMDwX1IMScYJqDwOVHTvd0ulCJwLe9Gvf3q8704
wPK6Q5cZfdAMF47LtezKi+CEmPs9UTkTjF7WQ1cppyxo/JcJxvW5cv8oU1T1/oer81puFei29RNR
RWgauBUo2bLlnG4op0XOoRuefn/yv/f5q87NqmVZlmwEzewxx/xGYiafy2zsRp+NoLLm6FIAztJJ
r/HK7dwg/THgsG4aTTaxpde3oEOwQIC0jF+PiES4Rk52dCyUvCA37yEu+KGzlFGczk+L5e8IwsU+
kmLFMoRJt5UdklF8F5017dZOT9GSlu3O8F9So643bl7F276s0WfmeudKozmtKS+oRpTBzLLOic5H
0JTLcTI/2fmnYbB483bqH4eCqNaevC70/K0M2ndrnMGzAEjyHUKPx/kFR64D7ChPQ1I8qw3VoBWu
8Fc3AYGpm3HR1Sb30oMrDHMzg+ySuXgBJNYJTJJgvkrqo86M6pz0FR9iqGlNB8tJXL63vCbB/Bkn
XQ/UqfnJ17fVLoCvlek35twqGuxnIhSfZ/ySdF2gparrAGTqpbcx6smP0Nr0MnlIZpiAZWz/Q74B
YSLfc+XeNpqmfRmchM3TKkvdOCbVP2t6vp1JHR7b4RSvEwGy9bInnleSLlunh+WL5Gz06qeinj6s
iUB5c1zuRE7lP60XXG+DEEg0Oo0+wQpdA5mc8AwDNkw4J8K+mQCC5Z8zB2nTt4QCG45xbDVFViqs
Lhz3HHszKj0EfyIFrp1211dufE+24biltZOHuvOepa4ip55YCAwwtGX5RsZ9GVkBDe+hH7PNMFSv
+EUZchzZQ+siIy8J96bsCRK+5MTijNbbwShfgPnfg07zN8PrLCHQdVnB3L06+pn90xjFT5XZ30Pn
EBbYQ+Y32UOhcO9rNS07v6JZkFl42f0SH1G6JG8WKqiugP2ppXk08+62uwhV9XJpxP46g0f0guIX
TrHKDrPYwL3rt9qQl3Hn9jyn+SZrJGrJxajbJfrYWNwUKjxCEngfrBdWTZmEuXXsq+zsYcTYtGVz
WxXNv8rxjl0nP4eMjZcWd6lfVpEwywNGFfSgeCSvRcXM1fvqaiTNLAFVHXU40LeTk0PkUXMRSYM0
etsYl43h1jqKHePbh2yUxjNG9MzZCkKl7NGT+0X3T8S80YauxB4VYO+uKJlp/VxrcydI9d75qcQ/
jGclcznNjOYtMJv8ag6T1L8wxB5mJ4U2Xr4s61hG8Gee0n79brR8tZvlfpahXcluJxN9s4LmLCTk
uYH8SUvKmwaMtd8McAYbm46aGI5FHGPTlnuVGZGfkXX/vmTtR5CUT7KdTlriaTTVSzqWhwEPTqE5
J/Jx2IFkA00zn1LAgRjaAKP1pRsVLTtwo4+cnusTqrxbHrqhUYi4C8w4+NBAA8iuSNyPZdQfZFNX
G680ngcfkM2Y2e9DVXwrcHpOp9+ZL/vFtosv1tmvc3acRPW0MEYelmbz0E7AyzM4THOBo5rj8SgI
Eds3tAHw/DloR8O6pwEJTG04JtN0T6YRGYI++rgavd9BDKApuMOSsU3Uey1A/gJQ3hhCEXlp1mCb
ypM91vcFaJ6NtSp3K4Jgr2VwfK8GAH3Qho6Ndkd4+wVm+QV7REqOJmns14RiNLfMDWPh88Cm21yR
bYyygyo8ut9mNZ4KU71N/FJs/V4zTBiQPsuXoDeuWfkeMZe1m2nyOPTJrUUyfePa+zFXB93Eu+Ew
qHo3cFhYJNj50zvUG3p7GfW/AgXstbcZKtVhJE/NHAgW08GpaGB9Tk5BP6XeqYyrV/nxb1kSoVzg
T6t1/yqn8WQH493klyF5DvftmHy4FftGRsiIblDlu8dMPXzSZg5pzZDyIIj+XDk36AiAja8pG3pL
UdHore+YGIynvWCfcQzYLTfVLdGjPXVAZqJVcblMr3JEVF5LX2/g8JzLXA+bzoMIaAoMR06VPDWy
/G1H3W+qsVRRF0wkRjJ02KfmcTaDB8+hiFxSyNl1Ml87A1V2O8Uf08h1t072TgLz9ob5xkG9g5xS
RCDupFHSDe1iUKJ4p0DuvsIgxOiUIKE5aIf97HCQPQ4jkScrC7pVRZPtBQz8+/5mzlUVVY9DBSNq
LgxzZzswG4Y+eyAAfoxh23ODo5K8D35MPU0nCxAZuzH34MfjkyEWsJvB9CFGSOOLkeF7mT76Idgl
M0jRISOjOCiCqEQi6GlwlBjjo9o0uHgowjqRh12CIjCZZoViXRyqdfaPhEy+ehnwHu7g09z+WCO1
8aK4PBv4Onl2EkZDwpyCoZhzunTZg8XyEzGdhKuJ/J41605J1vwjZDTdCGuireQ8x4NPUEn9ZUGu
89eeKQmLRLA488nnrG+mpLuWFIvJWN/OAU1D8kVAXd0wQPRCrf3i07QI3eSSFWHr78VlB1D4s771
A241cokKf7okDHI3lwRI5QMc1e61sDuuDhXKfjXP7lxpivGy2AifGkyW+DaS7N+Mnj1eu82FkOVq
eG9aPbuN2lq2qymsCM3IPNgOcrozlG6PmVHcOQkFOZm0te3WewdlqutWRUGbznuGtJ1BVhGC0LNM
ky/4VrBTCzx7qdVxBXDSGP8Q/T6zpjjG0tEkA490K2+rFowZiHuxKXHbHlY36aMBImag8jBf3Zt+
CvCmTr+ucUXU8ikjmLVGhAb4iPeuaLeMMt7lsxA7s+7egSxcTfUK8bm5IJo/OkFwtQ4shvWb9LkV
HpUQHigfkWDTmQl1Z5OBmcSCXvt7TEsu0ZCeCnPJcI9cmApxP/MJBOSsFjLbpb0TzvJkm/LU5VyB
KUe4EIRK0JX8db14jsoR4nC1TS25z6T+WPUVzpnnEkfqhlyQbltZHCeixG+ZxMA2srJfl8wqjctF
gndfDch8F29bCD3kzR6uDWsnCTzaBK7xKBqxmwHcXhapZgMHlVGoBQP1/kKXI/2jYGEznGvQge9z
6nzZ0lh2sT0DS2aEFKIh29OyBG9HRegGnP2NwewAhQmxiSnzK9T4Y5bCSCqcf44c643UyP0u1CTW
TSREF7ygbd5nvmlDlfOigpTTjRFwlniu/Yng8kuGcns9F3StbRr3C1FFhW09AOyrIqwyDFA6VmQW
jXv5gW2GRhzZNo19v9gLFy6tpfXBs2afOiBvQ1BzA/SU8S23OnDU47WRcbY1vdgMZfuclzXjSPIK
MGa0NtTPagxI9UWk2Mgy3SsSx6F2rrcSC3srfhYr+G6rNY8wsrWcptO9V6t3b1DfkEQP67KE0rY+
Gp250JIViF6GL2Ldu/BJVB3SBzFb8TgX3v00+Ixl5NXN7E80UDqTRnbwnrsjifaV8xSPD5MwQXXD
ECVBjMQd04sjndY3pStOwpJcuslInhN9jN70zi27jrmpVZRm5h2BI8/2TCpmMNW7JF0e0tid8QJ6
9zRUCHDJY5jN65sfPPjSwCRiX1h81ajDccwpsCkwwdclUW430QLFlpjzzdxP9BvSvdHWN3X5DDYv
oNkZHzgnw75Nna3OLXZis8VT7azeGrZ0Qv9qSAB2IvrhXSAbPJjwnNTeVnXmm1GWtFomex9rmHs6
JgyvBIPWeVOYzON32mG9d50j9cVQlxQYytu4VJXsvtTZLI5U0i7U4ZKUqiwIrWaWvA15CGVghDHe
3LpzrND385/FS99S+pTLMlWhMcMGzAN7OXrLayOychvb+1LQkK6ZQ2UGNdlKcmAaMb0VdXJRqNn5
xzmfWiD7kBsCvZLeQmklr87Y5wyRLrJ41pq7t0uq965VlByzHGkTDrSHU0KiAy+AofzTxmRkFGl7
OybpziFIZBcs+rot7K/SYGA3zSG/X3hD3fiNI+mZhnizM/CobDqu+G1geOwNAy4lpYbbetkFUICX
BbkdP1cXxUUCna1hLLBjEqGkq5UPzP6VMVpIlv00cXkyPQOoed6SLBS7tJ6y4ZAC2NhgWvI2fWP/
KAfsVPlsSa8mccv68Czj4K0a/STAzeO0P00D6hRe9w+8mU8qarXr7PR2BTkM2bcoQtJgoRCs5z4l
wvVOczflUmTgsP7EEoP1e/5HvuVtHBCxnLFGWQSdV7P3Elj6eumBkcCZI0ve6c9zLz5rPiyQKPdZ
Edh74xK5nLbLqXRNqO9ZPe2yjH2aSe3ftuqFaxQbCKb6y3Iot32y7Pk5uuBTAvg2PRIr9FxYthGR
gLV/YZA03qguxj30E+jXznde0bafvGqi2sSY6q44zoiuZnTiuiwCtqksUbFDwcu1ickWrbfrsde8
m9L+6Cy8VBWeCQTbh4aDt6mVc2+UBZKhcN5m+pZWouaI9J8LTyVITqkrnpJVHqySAl0khPKxOlEB
QNpjD+vbsFu7ycFoDEkYweouSJP79peFN6bzo5is1Ol8Xwp2arJnniZXxKII8y3tCWpY7IY8KPUE
gLTc4eG6y735RFuBQT+jvBVlMkZsAk/qQm5dnEfrM6n9T28aXgaTE7NwX8i+eLRlHYmEnEIigKGA
EyS7XA09VwtjXTjED4Njvk2j+2V4M7oyTrfBIbsuNxFjcu7/3po5TEzMx266LTo44CwA2OAu8Gbr
Pb5sXn0jOa2QCkFqnwpbrgh3w3fb6V3nGS8lkcQbL3VUqBoKb9PFzRBztlDFTHUTMCouzI0ryqsm
Hr9qwQhFOq1AKbE/9dOjV4prp5JDaBsTNVWN/d4EUK1zw4jEJZ93Cqwto+BE0efNd1qlB8AVV32W
7szC/Un9Hp2qpwtIkipRitneXtrbQhIo2nflsZ2JTJ3Mdosr/LOwBuyiNgndbrbNCxrP+Yj/La4B
B7tbfoXrKT17WY1JWJ1qw4LvJK10w9BjrJyHeGSEIo7/rbXxZBMlpGWTPhnFB8zE2l3t0EhM3FjK
vl1gj0XOaH1703i0g+yxUXTWmQD8GePLwU7Lj8WaX4uauWrSFqBfNfzNmbpdCnXT5Njz4uSTEuKT
YNV04zXzzm2Xj6m9zOWZ3MiNKsARuDawx23cdtTmF6VS7+nipZGzIM2amU0AvI2akH4ELokUxVCf
qpI4pcZ9qHwl6KAb72uiTmYHQjqob2yWcOH5+7Fp/LBSQO7qcZup7C0rexH+69z223XKr7ht8Vra
zX0FrXH0KhYX2ZO25I7g8a7XWm1j8uNxOTGrbbXXzBk92saMOZ3JX6YsDosCS5iSDZrnJqLeVM+c
jXjOV+FEJj1VGFwJsyC1Cs1wXHVOUmJW7NbEu2aC8lOK7qNc1/MM54u2mrzhCnmVBbQ2Y4qCusGD
6Sd7u89DT00Yjg3SovL1luGlK6i1675zna0L3oD7j0UeZRn6NlfXvJrzgUwHKPrYwLU/AVnnj2qd
4EF7iDceesrGoaLjLK5vnPJlEkVEgOpdn45v6UwL/HIKrgsRUxhLzF0iOVGYn7hdy3iPIv4We+Mt
yu05BpTPLoE5tLKztqQQXZeiehxT+73SUrDRSylrmafyAyhPYuTGWGePf1aBxESUQTxuD+zGHgnV
fmvH/Jvd7xNToOMRbD6ZymscMffy5ranvo3fKQ/wY6SUKDFC/cmgkdNbhK1Mi1ts/co+4DJC1ssX
h5KhS8iHNE6N1xq37DVfdYW2u07ejrzsOmpcqdjT62BXraBoVlEWh7q/qRuDBgEvsPUL45t972Zh
FkJksX/Qq8HcZAWykpCsRPvJ1ZwpNo2QE+jtG2Gbu8QWL+5+GSrryijpYHVMItCJ8Nio+anJeIa1
X5agOzIel236hQwmbTnVg7EMQOO9Ytj/ffmfx8DQ51yXQxlHHiMcgPhbm3vVSNi4VzVkGVzSn/Sb
LzJg3ARYSE8vYRcsx8ZjJJ0hpw+JjmwJ/KeeMxkH/p7dalGoTiJG6QNiz9bmZS37YT9TofeKe9jc
I0Bm4yP5wp/TWF4mu7j7rIY6CmsO9l78zyOzM1xK6xMfGfeaAbtbboqEnOPy3ZgAqjYOpb1U1m9c
+1w0VNhVHH85uZhCJCI/AhsgAgeIs1nzN0mWJb+7ytSlZEuN69TDwxd732lgf88D9u2FRTie4iMk
ZgDpKFZjYL8GBdBvd9cuxk13ebvs0oFxJPYpBfk+8F/g54E9rEmWWOtwXvLTasqHqj23uZg3eake
64Tuc+n7x74VSJreubCZJvf8n167QPyT7m5xy/v80joIjArZUPfXwkxUOPQOV0RACjxTZVfkY9RR
l3SaHv4YUVwrLmvnWM+CQB2X3dvBSVIBbAJnhykhElheCxO1cDwIjUm/zd323Ofzm64uQYs6n/ex
U/1T2TrcjJA2EuRt02Wn7CQBN9jFoT/gONsgNd+yxbsJkn/24NCT7clD89lwtplfszzmj5V6iZ0M
upDPHi1NnGTDiPVGj7AcdKNDP8jZO3uu2tBT3eeZab0WAas17Fh2t0gsuiIfysquxYT6Imdxyx77
SZrV61D55dboRYbRInmDMcIIu2/vmWYyQ4weLIMX06FH7BDKISLVFF5kz+1sM6xu8xnbl27rahAM
6RbFniBTfsq+duiF7Uxffq5M8lcKqTKeaa6AUGHEnY67GjV7OIPcJb8u/bCQ0mKiaX6ySoCApgPy
ZW5abFUIVm77U+Qd7JdaHcoFndkq3eBoi+NYjdNmSWhMDSvik+cVnxMiH3ebxtjUmB6GskmPST5f
Cmj73WXEZYNamYA70f2dWVU0Vmz3q7m0nuKPDoUltAqD2nU8DWiW2GT7q4TRwIli5D6WnJV1g9g5
mcydzLcz83UhHpV2G9QulPSFtoe8JNZMHYpftk6KfhknDGSEYt+nUCoo7za6L6b7jsz0aCDe6ALk
v0aXv0ncLiwndBsNUcNSyJrUUu0xnzuIH9wR0k7EYTdl5s2ozF1FTblZPCans5XEcmGeg1Y4e2FO
3Q5C5HHtcm8ji3qb2gS2rAk3hyQRw7VCby98DO55oV9kjcnUHJ/pmvH51yvWHxTZOBvyq7JBVmff
Cqc2l0SvzDtYDFAkujo7jR79065HtG8dbTAUCw+yDKrtOjrcjNXwBqJnW7uX+rNhNG6dj27BSlpm
zUstV+fg2Q1uZtEsV2K49IR67DTEb+Dh84qeurYkT5zZja1IOS0MJRjAHhACudDYZkn3pSr7KvSs
Og5BrtR4OZl6bfOQyLYaANTlkjyXmrcoFi5hp+zdUAhxyVPoTq7IX0fJsY2tUR7yrMDAxGXPmM9L
L/mLO5e3ZJ4IJSaRLGu0ZKQ/v7qBi7G4qE6gPvV10tybSCicUfUm5lPZpsUA7nvo2e7x3la77Aga
mek6U2V59Hq20m+bME/mg2DjTrxwRcTqJOo9zWIHRswumG+alPAWZmU/TSmIe7fj7Zwvr45i6nL2
5uchZtYTG1C/rwmiYYkezzpbeZLxT5AShKyTfLWOnCLPn64SeqgIh4ENGCVZkM1l+wO/mUO05Hez
ORmET/tMwMw+sRs1gwldi5/WRqGzCRuZSNisOZPdGNwaFxJT/+2NWEaWG13bR0AlzUpZ4XLOidb6
0Yn7adr/Zr3+gJ4h3AJQuNvdrYM0IePE6NDxJ/AtflrYcmeWTFDQMoReMzBkgu5hqPlW0WOWpPjk
6bwdUuM96IW/nayewLWsaG7o/HnbcvVJxxP0dGh7haZFpcM+h+FeKlb2tXvAPiKEiVFE3LaPuRMv
VzI26W2w9RE1lhwvafTOgAWPD/lxNEpz1/t3MC4oDM3lZdbWYR1MVGHdP48zHRGpxtBO6iHUKrAo
FMuV3z65SYfxvZS0yJx/9pzd+ez22QRzV5xnjdWI7cCkaUCngUHNfuiZGz8n5JEYDWHWhDtFajB+
+mZ+dxJyvcr4ppjwVorpR/kI+m2OBI+78mlEFCDvLYD7W0vED+d5jtke5tAbtgzofBqX6bXUW661
R3RBlef3hmih57sLp9zaNpsGK0pkzez5vAsTf2jrX9NRX+NsUrFIdbBYe/YX6LZqyi+8G6RXQj+l
38vO2Pb6B/6inLMqzZFf3HKfgsDFbBgVRn6oTAKd+9i564Ygv2oGzm2nixIO8mZpA+yBNMGtLnC3
6ajUbetvHdyzka8FaRvT57I0Z+6wOVWwsxEt43N9U+MDaXdLfhnYHdl3ENqGQX5tf3KGrNgq5I+2
GcRh2iG9po2b8T+EkzJppnMtmcw1vtHa1YeRHOi+mqCdxO080GZbdf3teRc2i2Br1A8Y62Y+Fctc
90mwDufs8o+L+lbhpL36e0iWHVFGKA9tIflrh0sETawPFfZHPLk2aynB6r4RQPHv5yVqO9bhuLWe
8inLOQ/M1wG8RGTZthcmzsGX0o3EGrwmWSqYckPTboZKbfuYjUylmIPIN71uumOnh6fZa9e9nTvZ
du7LW41ljN4x3TmnL7s9Fw/Bxv5UwBHW9GrpxFHCscYypQ+mAnV46/TDdDu3/kNZc0DrtdxUrdXf
jsHYkuG987np+y1MlpH2BtSxcx8viPzIjGOqv9RkQRH3aMvnk/XiSJyF7fDRdpBcmOiiFKq2Qe+d
KzpiUbuKIaRo3caMDs60WGHmXII21G/eL1Es55H4wquin/QO8DfOxfg2WJObRLJXYVu2K+w2DZVR
oMdY6soif4AiR/+y5AKP8vw7y+nvu6lAhpHJS7nQ/xTclxII0r2x/NPkB+exY91mrjNHY10lO6Mk
GaGz/H+ei0ezGl/0OMcbAQY59BYz9IaF9dlZf4T2D71DTHb+z5OcoGtVfnea2VrTG6n9DEKM6iW5
Vk773BeYKUZOLnt4Yo7jOuhx+CRxuo2zHorHZG+8QHxfJk4oxKGTDIHthLHtnWyc1yX9l+2cyGOA
5eeKQcVn6xIznrQG3faGA+CJn6Fk2JI5ogbxdadjH6hNXj4Fkj617ZFRBAvkSjbLeXboHrgifk/v
cKCwqoSxWreTjXV/7m+WqSj32DKOyxyfiQth9AUtorA0Vh2P10yW5bWq3d9+1TdCTGeqVLDF6XUR
8wzOTgND0LArxMTZfanO6KOcZZ4KytmhQjlxDp07Hi1NDnqlH41ltW4mvEA2PuBdkx2qnhJ3DJxf
u3CmTS2HV6MZV3SugpsBx81mMrPD9NT76fVILw3N7dMW43iyCIvNU3/ZGeMYRMPahIFIOVuy+xIy
Q5iw1jf9HqzSEc8kt/LCtJnvbz9KSZxYrB0Sp43fxJ0+C1F8jX26cvbbe9XxuYiM8ELy1ndyHT4S
BxEyzy/j9DkdNIeMJ7vxk1CAKENhoGPrcpjnft5hfGKFvcrH/JnP/8H76ts+iBL0AmRaRP8hMDeG
YlvlJr960A+D7f225fjqL8MjXYg4tHMDTr5HcFYAUaqL2Q4I6+LeoY9qkBosBZZsIg/8zVStHVt+
k66zFzvXgNK+rFj5YVfjE7t0s+qR8Xx2amVE7M5x1hL4w9XiLHuPK6hOmn3Fwh1L482Zsn/AzWqU
507vGxNbG+Pvaf9be8MrOVOo0XVz7sTOirlzsqZDVw4OlZihH9dfduHjTdfbyc+w1JmiJZeBudP2
Ej9jLBjsYuvHs39paPrbdA1uNJa0qLZAI2C9zjoTT2+QXml3tTZ5lt60jUFqpVOdJNNqRd1V+3Fx
zS22OZfqQoVTLfeW0gm0sbYjgqV7sHlhCGtc/oW46tmUJkx0ku6YMngddCMr/H5p89+06S7QqfHo
1AZ/N6mcQqLiUN6yCbtkoC3qxVrT4BplI9QD2eO+m1lb7dVPadvfORNBEGCq+TWySFV4XX3Ucua9
3RtZsBXqaJeH2WISXOUUJ5h699i/gf7plo6VpomhCXfCObXvRqPdqvY8rqZ1XVfzTtVGEnUFRVk7
HJraom5FE87qjE9P11s/XW+yigUoTrt6a7bjVeIT3J6YxC7gOLICY9gGpcG48vxW6n7bzwMlwJjc
GRZFv6qbn4SGXpcTRhkkRhYZi/0px+4szPFQBeWyHS3q3XIsJHqQw7BQCZElVndj4ny14jpxWDXJ
CfRoh/0L8Dg0wmXMfQ5+yUj5RPwSnf9CB2WviYFjpuXaYVOaJpQROrHPDKycU2WeMzXh9rCObVJW
Owt5QFbyTtvBxcpDOdp2BCkueF3b3n4ddPaEw5JyFA6VO84MatTytl6dx9jJHwRrys73pn3Rr/ug
ta5i7uQMi4ZTQ4OMaMptnqNGktiZZ/3G7rQTYaPkKz+h2GnxxQwVqjmz3FmT7pfZ2nnjSFWC2BiQ
WbBpjfIkdP8T5/NPMdCryNeN1T2U3TRx0TDyFzdvdip/Mu3+TnMDr9+OHLNs98Dv6ZctgBU6du0y
/UKSpWHf1j3imXF2mvUpdb2X3NMH03aOXUqpaoz2CfwO4x4Cj87EDdEd/Glz+mcJY9uZLTcM0BBz
IHZuxx3WVF99DTaw+BKOIIetOCLq3ksPJa4cm9c1DqJ+WcU+Ha3ngBzWrgve0+niiM/Sk6EwUmC0
IwWi0ie3Ive0sRG4K//ZhOI2xc0Z4NGM82p+7Ga0mDFhGLbx5A2DYwTaxe1DxSDDJliXUz0FUba6
pCjxFDomJwdOCm1Wf+f6/YPjVp/9QFaZYXqw9jGkmfNTIJCXnYCxAtd/VKNFweZGLLl0oGEkYMMV
zwUBnYybgBdznf6zNqfIwKXakRqqM/ssLY/MULiBOZr71MaHyy2PvsDrWhfuRqQ1s+mM+sSde985
w63baz+k18i2m9C6jdE5d+Ukh22Np0f5OB/1eG1PdIMT2im98Q3JgahHtNWN6iFI4ku1PT5aRb+8
LC32pd4RCZ61MbNa7mvrfrKml8pEAoOKdJlI3xsMdg+BpCihUFRMq1zagPCkMrATZrIgDlD9xsNH
51u7qRenyfPgobQkQxas2QAtvAZBcxpvVCvGG6vJphsEiJW2njIO2EfUZjBafawG0T7kwige2FZf
/v/3QDMw/winiNumjGFBxmlihb1rDvv//TZPNPS8JdawO/89hB2APoQr3v/7IrlKctZxX2/ddWgf
0GG6B+xij60JvOPvIYd419suMA//ecLlWSUBpjt+2zT67wshpDOlr2zj+Pc8zNb6XnfE119e9e8f
ZksOKQOVtK35zf4eG+QwhjjsXDAu//dYmfmhBdTn/PcM2F0LbpccQdst1Fno+X//YW9374taXf1/
jwtqA1A6iobW/z3f6iQUC3GiT2rf/vfhkmi12wSH0d+L/j1eNgvRU6l7x15k19pdfJeT6fnUxRin
mlaNV39fyqApLhlw6zbT+fQU9El5bXdoiXWiJu4co39PBkJYMn4zhrWnb5TJ4vv3o0sfDGGCWe/4
92VeBvmewQYR/eeFk1idyCpENLu8bV9CnSus/zz17638oH2l6yJu/t5JZUQ2rrGfIEjwdDV11YHt
tBH+fZkxeXqjAvu56gx+D9M8O501PP69jsVPImX03envhdwaU19XB/Hu77tj7oYLnl6masrm/u8f
t+z6XdFzaYHKStNwkg2sC1UN4d+3cTQ397xhdujJYGYVvzynytYU1xVNrf++TjEsmv1AvUeksHfj
6GRnJPZ01yhd3tGCvzgH2vYeRJ0XNUk2PxQgNaMBqsLj0ncyjJm+eaL26sNEyfJlRH3junPVa7rC
s/NK13urtVtvSmNqPkTf/hIqy7hkX7/6c15967ZmbDB3fuoVI3vpN/9GTUVR0VOhw9GEs9mycKzm
XaypaDb9CbUKS24FhUbIHPsB0cSUOzPPXpt9Si/kl0bEtTOu3U/Ze/ceDv+vTOXvfp32nyZ7Aqq3
IXi36d1uirxcdlmbEI0SWN09YfJwNUuPJegSuPz3WFK0jFSuBsXP3HX3f9+wEstjkYjb7d+Xf9/o
M8ShPCkNyh1e6j/PaxO9lVjMor8vx8sLNJ7tb2ftQ9T7f+9B1nODfZo+mqu6Jg3X3jN3hmNBIb48
5+/1A3qCe925839+1b9v1EM87euBntbfU/5eXxsmPv85pd/fdPjZmEg/rHNBXCQt0DNpQdVh6tyc
SNA2veEyM7ajofNHIAZZ2Fvu+FGVxq3ttiqhR3y/+nH6r6vcTwzewauStk8E8sjYrPJKVJWguzbq
xrn2bOXv2LzOXP+VTV/cmd9UPL+5DSiX1N0yPcAHtBbrfe218l1LuwmTRK0PgZU1u0BW4HaqYb7C
3e/vSW2Oz8SaDpHTFeYLjsIcYFJ615nFQ73a9q3TVoAWHKloTdALnIr0fyg7s+W2kW1Nv8qOfd2I
xjx09OkLcSZFiqIm2zcIy3ZhTszj0/eHpMt0adepjr5BYGUmQIoiE5lr/UN54otDoSjIk1PC1mlj
oLVwTBIz3bQlKimpoMCVJf14TCyj2RgCVIEwKf63ppYdtXbUNyjbBEfN0+0NPxTnPkkgAuRMuPzK
9gLQyaaA2r81rDh8ZDXCkk5z7G9BukdXwv7esA+/q5tgvMihkTUpZGX+HDp09YehBjTni4rH96Zr
LGbfNnkCPRXf43226X20TVFbJp0h20h4brqy6MNVj13osqhUqn5+/5jpNc7KsT+t9GjqH+UBe1ln
YSAnsZahNo/TOpi4gVFYm4KpDePumFw2qj7BTo/K4XpdGJNUdnW/2lME/z7h5odQFZl+sP7npvCQ
vYGnxG7Q3ea4qICx7CEDw0t4NFAVXgLaGVayrc9d/5HVPRh9FDepCTFOtjm9sexH5Jlk1Id+dkKi
bCsjeSP4ad42xj0PODP3kAfLtHyMm/kN3drAc1aUcm191/4aR/1jqSNt9yCbCs8VSLpV27zCQn1I
02ap6j3oChIozVqJTf532EGGK9iI8DGVKSGXpdcPDo8FgABzI7nJZHGN67JCgI887nWkDBHOJ9U0
H263kB25FTQPNiV1NKddZGD6+kHzR3UrE/dCSXkTfDH/m8bAstWtopHilxfKgfIgO+ChUg6eL56m
Avh44tm7YN6AlmFlnDryPw9BVgJrQTXwC1nDmiKPlZ/1AqEKa4KPk7cUHA1H/BB67j1GAcQbrySf
Ltszx3tC7kN98ublbllCi1HClvEiP+QFqlDWiNu0P4pyJdvbkB1R3xZvVHEcxIkG7FVjSpeZheWs
FvbKoXb4Nt3J02bEuVQMHVLmlnKQTVWc0Cvj66lsvfV3HsS1NFP++NAuww9tlu5qu6xMVr1LDhXf
q/EQ6uPPg6rWj1HL3zqZ4MWz0LE+aTHkA7VIii8U7b5bZmF/VRzx2mhaszNtw9y4WhyuvMxA9QMN
+Fcz1yifwfAQust8GmjoMlVp9IbjJabGTJigMpRVbYwHF5Utf4yNJahw5j8xnMayzH6MBaKeba1/
CqxaBUGau+zYe2Xfv211rUNWVKV0f6f2RrD1M8HWuoHa5erZ18LTPuNPrlwQzM4PQkdmMHImAAlD
uy6zIn3rVIpoo5JqawUK1xfbX3CDbNW+dVVQ7LWyStcqBLFd3gbZqzuOO5KR4qvWGzmsJ98/ZGEX
X3wz+EO+3KS7/AfLIX9w8qw7+QFVhmG+YH4fICipacVgA4UdmBvkJN9jJEmP8mCIoT2WZgu81nKR
OFDYpZcAJI+GHpnDnRwDl3M+BaYNB848/Ax/3UIOz4riLcvSfHu7dWoACzaVrlm1JdSAYZh26LZ4
JxmJBAKa0yF7L8O4AsUCPHXXu/XJoSDY7GoyIKDD1GiRl0r1NnbUVWNhlp+dibp1NKT11zzN3oB5
9N+waD62rEd/1J0NJUsEONjn013uQhO4U9jIz+loL4Dfkg0gZNzAnOn2GTzxBp7yLC6XOyUKc7pW
3EVYS29keOtIUiXDBxmcZUe6+yF6VTpsxA0Eqe9dOyy9dV0A8e0Hu96FRruXkTzIIdY8ToblzC4y
+4B8WeM8RoOq7IQLryuDpc4uvUNEQYd8tYzmbjmmUnx1kabkRCvLYgyP1W9s6ZX99RJdSxeVHlgP
18H8n04azhJWZTmPEIa4ya/XuF7f+1nFN4vXqIEUHIai6deLBhz2JUgycfHnLUekVmB1frW5ddss
E1JgQHeQhIO5op8r1XXvSz2u7uGyvLEntp5VaFXojdnnonaQlI3Bkzt8Ee9lp4Wq/RIcSLFVC3CC
TWcUG+GAd00bI3iJ/NxZFR3iCHo8wKOC3ol5TgfVbcjs5ykFZePlgfJjTX3N/yE6lqRG1VjPGfda
AZBN7gfLCJdFnEIgAinwRDZzNXCvs2EZ1tNU+SROHZ0dJiQ79uaIuhtmE9/JXseg0jk2jn9PeR6B
0ShKT0VtVycHxBol9Cp6L51sX4nYeq2MwoFTESAHMmXRW6GQQJgHOH+9klpqTVLdDd/Bi1yvtJmx
FsVY62dqS2TcnTJ97lMYSgh4Ro+x76MbpTU5JZLU2fSjrR9inhHAYbKWinac3zO/NZsxU52Tyeez
cpLEeMxT7O8iVXGeh1myCD3eu7I03U3d+tN4l80eDK0zakdKnSmJS1S35iYBgv9YzIfruKYyc7wt
lJ9XyJ5mHHFI7k0fC0LI7dS4VyAS24tttOFTYaNZESH0tpKhPDDAdOz2wsp+ZgEhPHQbINsYoJmk
A8mA9Dvfa02cabvgYIu0OvZhn62SLG1e9Sj+Jv/VmvFHZPXh95jvKsn0EaOL+RoXqaKDOV+TOuQU
qtisXydjLh/0/g9TXK8RXqrd6W7285rSBpeSpOIApco7aM3oHSh5Ut/qdQoSZSyCdcKzocINmy4h
uz6esgg2lkobrdOhzFpMCkx4fLjq3tX89ag846M+Bogw3Fmqy1HMDbdDk0YYAIN6fZ4g0q7aAcf1
OhqM+1zoySqyYuUNkvxDz7fwuxV1Z7PujTd4C4KyeP0fQ/2sfZBLVzMczoUX/Rz64a7mpOKxnpcJ
acSveiWMF9Wviueg+y2Iuq9aZ+vXHs37refjNYVX9Ju68gGhTGWHs3itDjxjYfxTEFXNlTxNNAQB
ovlQeDEKk+6Dim7XoUrm/Zo8FWjQKniq/rVVxijDV/vJIGXtjcpeWMEByoi5SSkV76nKK3vZDvGd
5Kls1LLBRRd5Hk3RzxN3clRra621lQNq2SpP5aF0LWplThvfFShn/Bwve0Yt+NJ6VXgYmefPAT+N
bTqQmNOyUpx9oYmzPGMV+tpQTN3f2gc/0LauQeFeXvrXsaBNf45t0O69Q+OgRXbYDY7yYCH0yfco
M1dOmaFd0rRwv+XpbUw9Uu74OEZ226qFWEuHsUwEzDB4VhB/PwjRqOSn51NdAfElz+ShDnh2AU8K
725tne6O5fEWJ/aUrOMMHTN5MRRHlJo+3Id0JUWauraZrlxqZL/dg4WTsxDjoIKvKeBqIdfXedEZ
IQNxDtRQnMt0dOCI+8bSG/Xs945t0yHgd2stDMNZUmk1lvJCeUBaWZzrbTWPlA11Dz7MZsmxgaeR
4TTzNlFuPGKGUN7JECpTvqkNlJZkqJtQRhW4mvcyjOxoyQNSfy48XT8nmfksm/sI7dbGxEMuHsX4
VmuUetlCODvZq1jqA06a0yNG2eZTLabrrb3UbA993BboKXERFY9xha4Q+9H5bWkpaoK5pRinHl+l
N93HmeQ/3605v1uWYeGaStLwdnu38pYJ7zarEWguYelvpBJ6xuNi3eQBuOhZLP2qjj7rqd/Csg5h
onlAaGSv7JiGlJldxqkqPqdaKrYyGrPywFQJxSfVVl7MWhdaYBSd0XYbljX57NVQOyNQpjBb+AgV
nHKWQlgn+Rblhwr5LDn6eqFjhGCnS3f29YjOllJHZ/BmAVuL/jHB/+IeAflDqwzum6rz8qM3wDry
vHPZJS/13Cw8eDZVQjm9aRP3bWiMeEEiPrqXvY0d44kxJq+BBnq6MbHYGXrFfasgja1FFQ9reZWu
96Qj2zg+eUrqvU7xvXxJV+nUe5ReqQDOL+XHMYXcSigbGY7J+HnCdxYNq7p4rgN/JV/Sa6iNaRPO
122X6q8mrLEkco9NalDxUFXIxRhZHXHKdo59aVF7iTXbBxdqPo1jaiI39Kt7UMAw3C6ZpmlkEkVi
3+LRaliwTsLuKQjb7gmjJVKHKeBQPyBE8gYDmX78ehuhtf5LHxvpUY7H9aTeGB1ESxlW8w3nKu58
L3lNX2XWAk0Rb+MZ1qZpx+phEPDtWQAAta8Ufq0qIpmtYQffw8c27PLveDhl4ASD2WvAhG07NS5E
/z5+sez63TMU8T3xdeAvdvnJ0K1y1aBMeE820j4Wk1bigeQ5X2KlXMqhpUudT+9V9zKleMONasST
xKr6y1R43Z18PRuSYtrZ5Ve/AKqolAOLMSWxDjWkylUe2e4bwIGjHNrE+ufOVeEg6rbGmyKjI/+G
3O/LhcM+6s+/IWEPdf0b8ow1lfwbKlhDL5Eo34Hvdmu/TMx1qibTFnBAttQR9niRYVclYqmHqv5i
NvXP3skLjN9CNdHLLUWjbA3bmTqJocSvKj7pS3VUqxNg+H5Xakm9RTYZHVElSpcOunmfxrF7AwJt
/uHWhzpVph9NyTSBCHkMoZyrJ8+vTjX5zLxFcKE3xNc+K8MNelkZ8ndpX9yTmcMyaj77ELaIPGMz
bDYL9gGMLst+hB2BDbTfZPYp1YyVPyjRPWUjd5GSd13J9tLVwQJBdBb3hpWv8qbHMiJoucLwIoxf
vMG93qDfGY6Jq5Y22+s5jnpvmmBB56iMA1A8eTVeO7sq1FZV1aFIMHfIIbLX6/T8QAEBFf2YAhVK
YOu0CqyjSX7zaM8HGYZpbx8mzCVlJNvlCC2jfkTRx0GZWsRQ3+dr+xyPo9DK1iGuNwspwA7T9aVA
6P8pCgBM1ho4CymE7kz1i+25yRPl9PDaXqTOotX0+gtqG7DNu++ojfMMA/7yGBSmvw2QDtq4YSqe
kp4iR6Oo3XejVxcIQLdfVVSblsg4aiekU3FAa9NoPZRK/Vqp2ktQJT2SOhhljcJ7s2I8VGLNSe7b
ouzxADFGVPvH4MweAzK2CB6hlff3ht7Yj9Z8MHVwi1b+OMaRPSuKtUcgmAf4f2AtKzOpdvrEsuI2
vq3raK02bNlkm7ysC0Hhj1GbbWQoO9So+oFsvbW/DXNAUjl1nj1A3rQf09KvH9xOWdwGoCzD0iwe
v91uUxtOuWkmSH3yItnRttGwTNLQh3LBjWSb1ogBs+so28mwy317LaICNISKN44XWG8uW7pD7wEC
kGE9juEKpRp1K0MnyV8ayl1nyFT+Ewz1dd201lsxBhDYvIs2xOaR0gUS/IH6BzAsdRNXBVsa2SYP
USTqezhX0JYZq065sfanqtg1nfgMFhjquefrS01140s/Cuts6u8tuQWIM9hV7JAxg/I6d+ZVnlxU
M1KXKtWhlWy7dvjFZ2PUtYOMkFK0zp54l8NlS2Rp6o5F6+/3idNcBRXRKKvK6TqIpE39OYBDdb0H
mwvg2uX0GfKLu6g8KtMxpX9tnoAi9F6fbpHvXyM5Vw2oXNz6ur9Ev66Tk9yvkfI6ak79k95Tq54n
wF8jr683982CO39znTcEoB+Dfhf0Y3KE2ZgcrcS/tNnYbZFjSY63dnl2bSsHCmY9yAaG35pFxUx/
J+N66r6lAcB8/BmOfmblR3kmD3U5oqmipy0GYn92+JoaDb/FphNtczXI9nGPD+X1Nrc7dLUyrrR4
1u6b7y8P8l4sCrq7f//rf/6f//1t+F/Bj/ycp2OQi3/BVjzn6GnV//VvW/v3v4pr8+77f/3bAd3o
2Z7p6oaqQiK1NJv+b18vkQgYrf0PoTahHw+F902Ndcv+MvgDfIV569Utq7JRXyxw3S8jBDTO5WaN
vJg3POh2AlMc6MVnf14yh/MyOpsX1NDMnj1Sf/tErrWF3nU8YIDXyiHy4GaluxAVeN/yTol6j4UK
JgHpOogT81RNlnE9ZJN2Mpla99SG+axRSzJPoPKLjaIF7d1tnOyg5oaBZh4hmVxEJEUtsS2F2x8t
kQ1HeWb8OptHoJwiWMaBOw3Zmhx9Xds1UZs/FhFQWt8cf4s8oe6s0BvX//zJW97HT94xDds2Xc8y
XEc3XPevn3xkjeD4gsj5XmHjerT1LD/1rZqecLeYz2Fv19Q35pZyZY04kwHbGJAOmQ8/m+PKQzaw
rP2jQnFzmZmqheDNUD96kVMhoUDb4NsWcFK1C2H1/RkXbfWtTKsW95nwtQSu/xBRDX9V9dc0adoX
A9LUJQHLLVvdtomPmg/FUIapRlFlMBTE8+drLLgHqyCtK8j7rfUK1iJdTI5ID7JX5Mlv9x+K3+6v
GOqubyuIlr6G66nvN4h11N2R7PM/f9Ce8R8ftK2pfM8d09WgfJnmXz/o1hUuC9ZA/CAj0qMXw+cn
P+Eg8/hQLaQsIPahlic/41t3nyOLWguxv44L6xamMDqi+9CcqnvSOvBhE75wmT22mGbOjZ0744fl
qe+b86mj/xxVWPaPrmTdVQaFt0Ozylh1bjN9bZq7sSYfPmEQs1Yzvd21mek+W752lv0Zuxwy5noB
k9O3TxXyxou6c6evfp08D+SYn5kDPtwwBX5wUT0DoOFiSNEtnazh3DlOeN/2xVFGiASO55/t3Rmf
ZxT4ukL4d52B8iMwF2Ppm7chXNqY4nqprpjVcmJ9ss1jUB4h0iFI2EfDRfXL53HQNAzeOnJJbjP/
LYHyyXFWY2upn1XU/7eAhexraI/RScBhfTJcTIKi3MowTOXqv7vrfHlloIXwz18NzdL/8t1AYcfW
XCZAW9UMy4am8WH6czJFIKKFvEbB/2uRjbV9ULtIAHGJNI7Xc9u3rAPoa3UBPAyUuuy6DpBd10Nl
YbjbQxWv6hDTwUykKzlhUjouN24TApqc51Ifa9tNrmAELqdZu4PQLXtjXIMfPW9Yq06Vn0JoHCd5
1tbtS+W00e7WXiAQfR3R/9kpx6MD9vMiGXpsQeKpvuS6YAGXRHi9wYHqsukT2flsFwKMXxpBNX7y
+omnkDqEp8Trr8OUyemO2YCCsi889b6vY3XtW8gruHMo2+QByC+CPm6mXdtkeBssO2TbdfA87hbe
7uzOd/5wU33o7tlduw/e0JycWrdRC6PyrCT9m1mxoTMhO9xjhOSheDuvyJQ4+1Qb1SlCL+dr27Is
2omgCS4+MylgvRkXaYFR7nV1r89/tFFb2bYeK30lQzlM9yASF1pHDs5Hk4dvdXbuYjc7j5i1nOHK
vHTFoO69NnfcO8Muhq2R8RSTQ+ShmQeHdv7S9rm6v7Xfxsp7kkLlBoqVX+8XIwaMclJYLewpTS5G
MmrLocbno/Cs+CIPehZ9mTJzPMjIR1r87CefZCCvCR1UqMFT1He3tg/3GUSirv75B2Tp1n/8gAwd
VqOnaTzCbMv+MLkmYN8zP8yLL5B/Mx76IjxK7x6S8xSmCs9bWrUl8Af8ZffzoVuGTWF9roGGHVBf
Jb3gPSA70l1kkPB4XOqIWW5kqAwtZQN/uDBf+MUC4PePMneC+65yre2ogRj1kbruMRMEaWsgrbzs
q9HelnH7FrECYKeOskjD9AVSDLgFUHTjzRVkTWSbreXeQzwq2j2T2UZG02i2dyllC6RZuqK+jBj4
mECfPfMR/O5KvimmbQGF3w5XJGi6Jz9vw8c+BmmTB/2THFEhbg1mMc13Miwd2933JV8dGcKvm/mi
UY8YyCTuMTZcNoY7nuxiHE9T2RSYSoUqktgt8P7QBSi9lF21on7xCtfcjh7G8wEuZNt8xIEiGAbt
Ejo1wg9qqlFAG+H4z2fx3IZSiH4kgaGNByfRvD0S6tpeT8OzhB9IIIJEHsh2J45RywOvMKEgkYax
d3DtxDlPysxQ4ldUk+dbd+QmNhrOWAfWCvYuFKhbpGjxy/pKo4tkF3qYYvL8DZ/kAdnexyRx6qOM
biMgX4RP8qpf95AjogBBL4NfPDqAf86LcrKDXhqy7/z+oVmGTofydtBd+25TppxGZZ/ffr/NqfKs
NI9d7Vb2af59gzlN7g0HCLtH49aOrf6oanm2Dtx0eOycMOJDteLXNgQTiNdQ/rXMmjMpV/8Pu3nv
xGiT1AZSmtuT/r1utC/C9sTnAET6QtihsS/0OF7qc/pt1GPnGM8pugja1U5oyaOLBMuEHzNtskO4
T3aILmGnKqSwZ1PZhej0YHNbfg8iXecwBfkWPLoQkL/9OkmD+NoS/3kydzWa86CEmAvbauoeFdY3
iN9VPTBTC3K7bEQchTdRNn6xBpMRPUaxZe0LFexc2DbomdbogCxx8fQowFr1hdmneozHh1RxNyWL
i/vb/Efi2V5HE3PCderrGB26GFtpcbDrowRmywSMwjfbd3TnkezTguRimV69d1Tw/GUlyi9zHkKO
yFstWjZVhaAZik4n2zeZCEpH3ykuJr46K+5DkQloqfNBhrdDVaqb3kjD3a2ptZN+Y4xVNL1qUKQ2
lhOsTFMNT9T80NF3DOPsKjECPwizbzrHhKmTu3G3DktbXchucx4YDWF8r6rBSYnKeONGkPOMzsB/
Lq2QSs+EQEiClCa0Rb48ALAWteU7b6VjfUNGV/woEmhaHjhB2LjjVimr4T1RIryI2trHBdhEuLbL
q6ccLTvqAmRBoNA/YUERrdQ2gXI2dxpR45DJ89ayUzZhGYRKvF0UOxkqatofrGCWNemTplhMffqS
znnaqSzEsrBqo15jkJetIoxaDmGKArlq2qgJyFPZKA84CaEuPh9AdVv5HaJjP4fLRhky3dob1xyo
kPkh6OvBrKJ9GMWfKPd4Dz4U54duPiO9SOktKcaV7OiTfNj6FRYSWjYhMu5HTCvuMH7S9XWJiNRb
0en+IRiQqgRyB8rdjKfXSagqX1w9vshDoLy0PrBepYuSS4Pe5kEbqy+3fqOCQNoXg76Ubbpaf3Xz
IWah4PS4oKUjUmp9UHxtLLjpHshCsPwUuMkk9gu+Kdm3vxlRBCoCsYX5yTDH/BJ46CzN6VkZxVbw
WzT3sdIwrn05Ah63aO4boa7gyJn5SIW08RnqASWG+fdWprXYDA6S7/L3xt6wuYi6O/hmveZHmp3G
RlNeLRdNLNQBYNLW3UXVxC5Nc+UVf8ThvjSoQPfzqLjoccopQ0imc28ag40M60K7owbq3clb63ma
nrWmvb6afMmu7/JN5YMclmEMh2SDdX18h84d2kCTTm7FgcAvRsStOuTBVhrAmYs8IEp1GorcQg+x
frAMc2IXT7UWZcxGhyHPsvLaCKQNZUK9TPAYjXmEIUCyiiBdnwujE2xalP4BVSXZcmu+DQ01vB1l
R5ppwzxUdWY6fgEifhvlEMWGEO05D+XlH2Qkwdj4P5zMRXTRbgClpbNRn9ZO90OhaQfEH4d2wSJR
WealPn4x0mjv2VP3ogZOte8C97d2czDiI/T/9yzIjAsPn4WaGt6zNpTeM7jChRf1xUVGKGh/0iit
HGWkY4Wy6Noyx7+GoV0A461QpnQjwwjyGGoNjr6Ud7PHatw7+oy+hnGw7rQ8Xuk6dNnJryzEMkbr
oXI0Np2Q1d757T12WhK8ILbnbtFZM1Day8vj6JNQyRtB4VyJvjspuUem4PbJnwKKTeE4gjS3uwuU
6hbBX4bESQd5ldVG2iv8R7qwOU4Irm/+eTVp/s1i0lEdh106kAwLIZq/7tThZIsAumf6BYfLO7sr
W6ieSn2BV5vsixolVDA0zUW2FU6tMemn7UaGsmOCUvfhqkHRtmPuNcqTBdhCTAt38DLUI9vbiWlb
GQaOgQ4YGzgHdM2mPsgDSbdynVvq10lR6oMIHAQpkCmqD+p8kENkiAQ518nT28W/XSPvM4zV53/+
uDRT/bj4dngOoTZue5oJVefj51WD5gGgYvSfdeTjQCprIIfm9YQ2H+RZEaY81iO1uVRQN3e3Yt+1
Fui2Xr1xFMANskAoK4eZbgBV7hy2QHnAZtTWHj6cdXqqX9uGX2f//+N6vVo3VjBt1BkDQsrAJXNi
xwe5LZZhYMbJQe6hZZgAVf4tlL23wbdrmxzpxQ+Db2FQV7wQqncLddCcezfP8wd3RDQVou+TPMBw
w/XQM4yNVXrhUzp54sFGasnEiOwd3q+CZoBoqB50OlrbbCJD10zYFxgGiL3Opu54V/Pf/m4nCLNl
6RDvC40p2S7Q5IObLT4FI1O+Eg7aRoZicJ6V3BGPQp/KS6galLWMDLmqHKERpW1W1zCeEEHo/fHY
x934aogfcTaJT0C1BJgxd/5mc2ulyaJl7qr1XvaOJpZhoaheYJ4PbCd4B/JmahbBip7fwTU05xmq
E4+tJ8pL3VmnLABhb1kxuspBqi2rwbEOWVr45ygewYokZfTOj+MzkETjyVBjY2cjLbWurbj64jrv
SuOE7x8uxBb27Z+//7r98ftvOLZNktTWLV3VTdf4MF9MBrOmAtL/1R5Ydryammuu6zCG1BOky7Zr
/YNiG/4h7MrHEHmTjYxke5O1Dt4lc6+MY8gGkN4LY9v3JqUgNOTvBCwmhEQgN4IXnOqd0VnDpSzt
4oz4yQLR4vEim4Dnd+tOwT1IhrLD1L0nu2r1e9nkOH13X+PMLiN5GHytQCGRrApofW8V636wpvrn
bHIgcgg6FMYbi0wk71VwIRa577cBYTvyKeNL1BnBrowdgAcdooAbE79aGM2OC5KX7cL1Jy9/ylGT
b0yzOgQtUqcWj6VNPFMAQDv+PMCrhRCdIuBw60B4DxD6fIUzXyEHi8J+1wzfpgJWACnqgrY8qLOZ
ZvPrrJI9MsY72nVRv3Qg4njxWg5UBvWEMv75Qx5Ahrc2lI4noAz3siXncXS8ZRQabMsPyPkh8QDt
BlVQV3nFT+aLydz/IKO2ecDr1n1BHSV7VJ3wAatI5VVvw+GgUheDNNcqr9rYRhvERFZ1r/GMK6nA
Xpir48eafwiuzdaTEnMowz6n/hKXB9mWFd4mb7Jx48dFd1B8pUWxY+wOXqq7xd0tlme3Me48WoZs
+06hl6x0DKe2101cSPJiH/rFy616Is/MsIVim+Moe62hBF792zgrB/WI3NPE8kAzHzQqGQu7YgVl
zKE8qA24W2EWjzmQ0/1YWZFz13Q4lFaoHnwYFpco0qvIBbNSnHzzkNRV+CAPKH8nJ3c8y4BsIKQM
1wxf81afdmLqM/NO9jiRGy41U0NVYL7U48t0cKkYMOPEF4A54J0hfMiosJHICchDykgestQr1wgD
lbM2RnyRB7OAjNkWiPclXXgU1fi99jvjBZl+V0ayRhMr029R+GdUY5b2kiT+b32dn+tLUq/ZMijs
aY9kibqXZ00/TNcz2ZZMPcqRfQrWoU3LvWO5GEbkmq+ubKdF8ed6ji5RsslQ7UX8sNN3bgkCfsha
5OBR8t6Uyuif2j6bVgq1yQvqidHSFGHzIizKeX5fxZ+HLvoRs5/8ZgmNr/OAbg7yKnjpRGw6agS7
nCTI4Eml+LyUivtuh/Uf6Ie7n4SXYypSaNlLTvZ+6SOY8v/I5kH2+uuCwjUMV2XzyKTKZEr3POH+
Vg1MbD8UfVk7L3hnqXfy0dsXLSB9tCf2Mn09KMiTAhJK9/LRK3uzqP7Zq2rokMve27WyFyHuHWKL
xePfXX+7INSbAGxIpY8HUeLwIRqkuzLHDI6xhoKAPLNbTLPZDHc61N85ieXGHnRKPaoX7Jf7lwJQ
9QJftf7FZNPetuNSUfQH04yKt8mNpv3g5CqKT4RkCtWVG6CbIEM7cCjalk15nBotf7OsfAFDGbaX
BWg7aEJ7a7h1ubE63X5Bie4iN4JjMwHbb6L6Cc8Pa1sHSA0FTey8oI1xiRS72QZWaG4RrNurdS4+
Wwr2G1RftaNp4D6E5J218nK7ewVE9yqz3L+GZrX4ORSRKO061EUyNu8LZWk1unM04QtMSywhUD/M
2wNqCyz2WsybjroeZ0ej6d13PZsuNj/KdyTTfjjhYH+G6tbeeZk/vflUlxaFbXcvyEOijuTp7VMa
o3dVtiQpVAWRLfxPzAchgCL1ThWeQOqqm6E1m3u7N52trgze3nPBkhtKjnNs36sHt8TveLRxF/Ki
PNq0Q+GcUElUQIuM0xmN+WCV5317EXGewod1m+e60tnL66J/ZeIykL8YtE+Rg9x5XfQKxKPpE39J
9Y0FwBGKhfPD6vHobfNwH1C02ZY9f04H9PphzMfyURTlO3pIGv68porwoFbu4UfMYMf+TrZnQ+Ns
Kmy+1wMkjs9hYG0REguf+/Zh4McNoGKMt4BzpkeMcJESqrvkm1kiLlYmWK6VUEhbuy2gBqTBWgc8
eUAUEeRsYGUrzHuDt6S3X3tvan8oSbxuW/Td7DzWtyN7GvSFk/aS5b6xNlq1OzjxmDAhBgWs8bB4
wvaV6RIppXernNZaAewEUXcU56G/g4BUnOtBhggHwTCurHApOzRHA1IoT9Us5lQOup568+VwV8Uh
iX67jRzsRg1+N2qe7nTFw3ixp0Lpz5qrLd5YyH242TMeuMjnKab4YYSf+ymcvgkezNQkhfqol5PY
Qn9zt6YS6GcFCdtZQ7t8r4MKYBvXCNf9o9XV/KXIzGTd8tU7WEbRHxVNOEtEugbS0ZXKYzHOYKcM
T5KjKJWWjHmVIturdnq6Nd3a60l7ktGV3phG9fUe/22bvIl8haFLP2UG1AQ7cq2loxrBc9uV9anJ
3LOuxOGzbLKtZl8n2viAUWb47HpVtrSwqdjIzthys70ZUwyQITpf5OPsjemocb2oIeSjRHEy0ql5
sBulQRwV60uEmam9ddieaAi4dnNWi+pyDFrZqx9KDCWf9Db4bVg7djAnvTcjccZtQZoOz1uKzXrp
UoG2xp8HGWbJyP8PWMOS9JFx9rUcM4For1o++UrZhK7aF0P1mp9tk80P3UdPGtE8LmCVUfxf1s5r
uXEka7dPhAh4c0vvSbmSVDeIsvDe4+nPQlItqtXdMz3xn4tCIC0oFgFk7v2Z/X9ZoKt/xjjotm7Y
QEsAjhjcnApgoj+/TwpAF2MWptgo1T7JmBXP2nzXjfbaJO52V0xgixHjFMeu30pT2600tYme9fRa
7//U86/jRE+w9drT+xXexwWRVK67Mh1neBKQTnGbjvSKc5Cr1jj2tjmcRI04DHE+rCUAULNPDZUZ
swsQgWLbTuQFBHeouoZ7RMwsvOcGR/66dDeiJA56haImD4pyrhg+gK22ths0P+wBTjkeVqZlY0vd
OGdrCNxdoIV3QRo6Z1ElzqSAdE3jjUiHvzcQ3SpXiFrBn3WqJQxEFTdSFqygpPMFvHBscq3UePBh
lu1ZP0T4X6jfS+K8j4Fi/xqRKHsqFdTTB9R7doobGSfED/2FGnvVNs86B6swb0sYw7hHizd/iPJ0
HSVm9mymXXgwGmKDogjZXOWphVpy2af58zCqwVyaFKny5iTFKVBVANcLomEmt3lnZJi8YL1e6ae4
ktCOAHe0bBOly9bDOH4zVFQEhwhCHpFp+6nJ1XuNZOuPpCWFglRj+WCi5boB0szL9a89iF+ir4Fc
y7rscmU14l+8N9UkObIHzpe4ciRfeJf9FFQcVX1t6qa6QFu29I1r4c2l6rlB9CY2Ll2cKbuQSAny
lJXxIiNf5vdG8kORYGKJHnx6edcMsMIsk/RVlSPs4icRS/A8H14IqQMSLtkrq3kQvAzaPJDsbu+K
ZYrrN94hGPpDL3sFRlpkUWqpmty0QjQ3h0797Sn6iTBz9L1EOh+zRcd9tlFYm7MojR6HNlAWLn/M
JQ6cepU6Uns0/GTY9LWs7oag9fdub2SbzIYLSrgxXoWlF9zxP9YsWo2E8uAlZrViDT4etWIYF5ma
aVtPloYXLLvmVt47xMzd8tiDxcZbjnrdxQZJ83u6TQ+uvkAu7b2bHBXINk1PMOCjzFbjliC6RRGm
XJHzm1d79KzzFSraWL56cRcvY9MGSBIWoI+VyJ17caN+R4U99mTzRyDjDjhiEHs2PUfdVXUZ8GHV
4jnCISgxI/NHEse/UqkrH62iyP/b0tf4M0poelQ5iqarCuE02dAV/dOjqu4jxcKaaXiSjcSBLfbF
1hoevCn6RUbroGwYR8VrEoT5zJTq5tyihX/Xq8qzqI/GCMUc3C/yEqOEvI+2YiMiikFlfCyKVjOr
90WQ3zmjHR9cJehWftkjuAIibd4T7XjVkhGOcY5Wj2Nvc8Mqfldm/g2RKftZshWIGp2SbEn+/K7r
St5LckXypkFa3bfS+0p31IdyqvdB5CG8qA1fW2xekAHqZELvYkcPV0RedUjdzsV+X2z/SXD1xwDt
tq0ZW3oNm0NGQcvQwrUVt6wsDZQAjtiQl2/BdKtTFk7ttpiXp0DyfLnvDqLsell38HqjISuB8vmn
BtHFzE2GiI41emjLxO6B0ZoXVOGruzLVy7sGSU1QR+ZFCtvqzkd17JBhELPIZVU+2laNRJo8bYZk
OccXJ+h/1gEcWSinvy27uA9dW3pJ4IDMo7BULqM1sReRDSd9+cdwyJ1vw/nmrsNNw9N/l+iRjNrg
ndHM7jZW0KdnREdhynhm+lKWAZpSlpmspbJKX3zLfG1cDNGDYgweHHzMRfXgpPYmjip/KQalA7s/
XS3dA+Z79XOQbXTNTV4caPB7ssQl2rQUe2l4kMb8LJDgaemerNAoHj2UkfedgpShqPdS7+wqVfGo
Yb2XOkiroVC10uuaJTgr+UM1dB8PtzokDLulnpXaTHS5NYhiY2PCm5OXWKRdBfBbTeI7B6mYJcsN
mRfl5PwWJjhCFYgHRywLdwnIhb3GDbrRwqY5+iX6GbLXoucTYhs0JGF/j+qvO8/ttHpCY9qdAe5q
XmQfLdwEVetvqjvlgPMMaZVqNeAzh6oSSHbDw/9GG9xZE3n4EWG7tkcbvP7ReMGD1o5p+BuDDpar
U/6sr8gLuE10J0+lzA6QjzSjO9FGRufapk2Q4fc2kZP76zgnKv1F26Xq0sth4uIYgQhNBsZNn3i6
E352l+V+ixjnROLFEwyydJzX7oxfZPOAvfeWZbz32+LEd7PglVgIin5SH51iJ9Z2sgaNIwlV68Eu
yWJP8ju/cDrj7gf+qRQyOrqpdG8rMK1QTw52vefaJ69gvVmo8fCaFd4+cOL6WMmRtraI5M0IfHq/
UUxIUtRQsF99zUguP1tNlC8KuxnPmpUPm1FT863mQk+NpBhRxxD4f+xXyl4rleAoo7G/BPQVPWtd
jCQKnwmUC9Inuv9tiCyFneHgYz3Z86Qp4FB7ZavdWX6EQxCWVd+t7itLZnRosTrvjkEPPwlcQt7t
p/xkl/o9Cik0gAh6O9OVoZ/VBvR3eTDMS9vVr2Xu9C+tPQwrK9WJNU6IklrRF2gQO49D3KHIbGfB
XK714KXJMMHU+HlsRNEZS5j1XnePpVKNtkf0oE69nEyLN0kNJ0f0InhH5FPyf6RG15zIJ/BV5EiK
30BSI6LqZJoDYvnvYCvU/xc4DXVnUYVoB4JHmDGRK9DwZOmNHbkgZ63nFU8GGXUeyHjNI9Q5c4be
Wve19vK7kF+Hh+TcEtGXzJ9hfbMftNb7Xo9Kg517oD/J4+m6MMBVlQf1FxfHlue8VsZNk6ToiE5F
x0FMXcL1YX9t5c/qUs88/ed1uvmXd5+paQSIVcO2FEdWrU9xdAWhWXMwC+kR5iI2PS528kMxtme5
S6Jd1ZWTj7qfPboZyxJdTayfObhAr+YmvvUdDLCrA1I5hUF3yIoo/fnxLM8089Y9ke23qWMJbeBr
32lqA1+NWeXW6hyPRitGExA7nDiO9zUR31/wDnZ9k0Vf66rV5ygSpBcIJuomY9+xwS0I4qU9hUGx
3PiaDOHeY1EuBmHbFBEFBacxgpsQBIHcSIJHxKFm6pSd9zuk3aKO5O/0BBFt7yVMzT63TeNAuVj/
BYcKZO5T4G0SAdEMXj2mxj9d/gSjI3zj6sAJrUeN1O4iaoYof44NRJf9MVoDFKv28MnGHAceTsuG
dGQ9Ha4tqT44c1HZxRWZyHGw515igCQ1x6PAuQg4jDj7hIn5VOw6AzuJscYluOZu2urNZHJMPu0B
xTwWnXbb7BWpsA5oSiLFbSr6U5DgpTPtgn4lObYbmfFTDEqkgEEWvlIofr4NqiKP29K3tScrzlnq
x2cVpd+fTdctbbXiLim8bA47Jf0VYEVhoX/0ghsYUgeabNzDqjSWWRSYxxqJvM2YR/I2kiP/aAAX
WOkj4ieOr3/xXQJqMSCbAyE6bO6nIIyUjN1jClyQd2U3/EK4Oqx1fiDg8cB7tAi64rO0xDv6bRCB
8OA6iG1r8T5oEEiBEkuiEuLsdRBiyOVh2jZdr+SqUvcouyYpEgBA61ZH9h5ZQj/4MtbeN8WwlUOn
ReFuzEOHxS5RxsplLVv1vbcRMcgCBsrMKAbnGoNMAoAoAJOectxTOxn8piQpGMG1v6u4Hb5CpupX
JfGUjW2E1lRdaGF28fToBQMA9wS0v9xWlfqc1r17ElXiIIpOEq8IvIeHT/V6parzJunKZTrcRw0a
NALQTgakPIiz20HURV6bb6L0wBPKbtm3yQ8pLmvYd7rGQZlSu5YJnla1UxMrcVN9Eq1DIxuH0nnw
yr7aqkmkPUejsyJJZz7IveXflX73EKs9STB01TYKvGTY46q2lJo+WGV5mW464u8Lcdcq9pBunMFu
rkXRmpjI5ijD2sjr38a0NetdGXw9MC6qKEqhcizAf9672U9tsKRDhR/1USxwfWUVWHJxvK55VRsz
UqLzarsgOM1yBu+0ZYf1HJkSH3R1N3xll+kthsr3D3noJw/GGH6sxwXs0KdG8jD1N5rEedXVQzxo
9jGp5fQpavylLj5RkORblv72otNaeWOOBv8BiY/AUF1D54387Emq8Yeb+g5pk28T4sPzLlKbh6H3
83Vua+FKJArdKNEgmut4u/KVPafhJZeVYaJePF5BMGC9tMWo4VLK2tjaJW4j4QRfs70M6+LFqKOL
N8U62zDfmYhDv3YRGmHIhATnwg3cLbK01TrwHP0+TmNEwcGq/Kzxk4yq36krG69pdk8wGIOF9xPk
hj7VfGyCI5QihvOhT1rU1itWMV9EygHsy5QjgnEqkgppRcpIDXDIEq1tuQV6OXy38T4b2Ku7/HfO
YTXWpxhznUMDhXwZ4zL32iQlDHK8rJIMnQxHgSwfs0gCCGhC8oSH9JTU7aPogQE0G9YgfqpzpNUh
kARbBWew+2YKvokeFjL5udEOx5xn2gIz8OpcTodONruF7CfKwlZ8pLkiM6TSMjW8O6zwKemDk6bG
xUW8fDJKDMgv4mc8td1KqM98KL2Pw3Op/S8vH0e2/vr+n+A2ZH4UEnWKY00siQ9pH82QIFLL/fA4
OrtSUrpmGyRgkhxHbxfIGph7QYwQZ17jsgHS1ThYhJUrgSVr3VWTugZg965YKMQm9gU66mTP5cfI
ivDv4FG1RpYkXJluSlR4AhMLkHE4etUZ+12MWHLIRfJY7U2erF+g8nxJ7Ug9i5LsYdKRho9RQNRG
MVN3x3Mb34rUMl4HeOAWQLm73KmkUzS2/aQWpp4GR0JYPOrv/Lqtvid+89NAz/21JLIGdqEdnkOE
sTEQjS/R4HWnLDRyVGHs7FQ6lrsJla7aluxO8eaS4KoU7UOvyuMhDnBkH9X2YShSdR7i1royHbIK
Oe+6n45ZIf0D2ihSQox53fr7gAXCfaInaJ/pHkwuxSm/KdztqZpbz/qg46ilm+naLPLmzjfzYwyU
9zVOEDWeAIZy3fnzocv8ixUWd53kh9u+D8y9m8JFEQdenyAUEWBlnenxCs2yoP3dqbxvydAEhfPi
wzdf1ppc7tEvq8+kxHiVNsGwRP6qWJWRq59Lnk4QsAp7hY8syQfb8ZEDbSLr3nYREgUG900BMIMo
6uRlYmGZxuJilcn2M7Yk7XfbDrJZ0ZXVMhybcG3CKp7zBOieHROxjlL32x+eMaxLr+j8WaM9tqnu
/DZa6Y6d9KYmO78YLBgLQ6TO61pBUDfx7TWCUc4+Q0J9Y9rSDvXhdKkgfzPGuG/KoKtRBcY4oAUX
t8rchh14Wp/VHPxeBejwexN1F5tk6y9STsRsLGeOKD/2xOjI79AQAMpt+Cc6JLiJZa2PmeXYQluI
D73nh3fiUBTId0sREL6pKpKkEgsJdIOE/lBnTbJFXf7S2/mlMNP8EeDto1I68Rn6mfyUScqXzFOs
kxrm1XEwygtEACD9WHCwhfsVyk16kAPvHjOmYetZSaDPyiDTDxIBaGc54uz+2plEjfNGLleiKA3m
2c7ZHppq250as+7xzU3TV10KJ+/Vxt+rTnMEpmmDf/6Dh+M7nBW+9jPKfW8NcfWNnyM4NhFBTMI1
UxdRdvzqq2ThstG6wxOZkfRcxOETq5PqNCCXNWf5pOww7mm/yDZPaqDhyZogyU/eu91dYrfase+t
jRHrPkqQZklATweCPjXi2Nvdtb1l7fIx+k6OkR6dYgxbJ4hA2olyoFqYNFeYbuE50C5zIstfWMY0
S6D3vNamoqmZCLI6SgOjZ8xXgZMP866upIxUnJbur6eWjjONy4rLnndTbeTxgrJVae6jndj5zi6t
hksxhMbZTuo1u8+l7mg/sw4DMTmsv3e60V7GOsknA4ByVQavY8l9GLLTGZqw+t3pD4gBdk9V5DuH
wh0xTsEtZNFHeAo3IY/0QGrcjdwFySzndr5g9Jxf0unM0pVLwkN/L6pEY5tVybpDnW8uioCbkpOk
lN8hXe6zSaWsjOR221W4voqiFXgjkbfoWyil5mPQDN19glVBPJXyTAa+6bXoUsq9hOkZB9Bkb2dx
pLXr1je/3apu3W59HS0vSG1w9feRFiaSoHh/I0lr7/qiCrd24zp74pfJJtAV79gFQbX2Sy06kUrE
0yjXivNolxY6hzKqM513cXgzb7IkS/apPdY7n9t/0wSZfdCyAU/WAbvWvqhRWgf3cY8pBGLKeic/
5vEd4vugDuwxQag2DDetXpbb0HPqM2IBeAw4cfmquulRLrjTsTPbNkpafQ1L7HVB6iUXjbTrBiCV
vGnzJpoXWOUsFaKoW8Vkts6QplcGYhw23hzfoDIvVbk0f9l58qCwhphXBBUvnSYtO6wNf+uQynye
ha9eyyfs/Ci7YETZbMqhPtncSutItbt1b4CVkS2b2ILpq8+yUX1XzST8nZpHUJoEcrmZLya551fL
R0e/aJXqfkQ3dVUg8H6wsZpzQnKCridVFxhGzTytyAQUGLfhdBH/ktEsnTkpaxITOewV9MJsP46a
cUSMSln4Tqe86EjREgOxSVQ6Co/sVSUjVxL4xoiMpVzsCFNawMW7X3AreFCStWdHXJl3SdWEey1A
INxO2uGUONP2xTC+h0ruQcuoh43i183a9FgiKcFw14DS/eEAk8N+JhnuhwQhkThGQrZM2+aZ8AQJ
EnoE08LZLrLkTu3wEmr6aiNbXry1RmRGlRHlOP4vo/Ug1+bZ0REWCbrCQ4IMevGgBijR58Dx+8Bx
Hw1dry4W6l1RHs46DU32YlJV7ev4GIyFuiaDXC8FuAsPmGxhdkGxFdCvJpzAGfBoT6K1alDWsQz9
UZbbFLpqRsgUAzKjbOO5prfdtmkUbznaSvoKEeMXWZf+UjhQOzLN/xlMz1wDX9+8lXJsX4jDooFl
btugHdZ9G6X3nto5xCub6ofp4FGEROgvXKZ/FXJgPRWyPqJYHL3aA/6uWao5l2Q6DAraWmrIDxW7
DlVChRYB3rG08qXvls5FdHQcEwHRUHdmt7pcwvSjNHiwTLOIbrHRmxf7Ovd1sthU1h6ohrYbn9Fa
9Zd2lqdQxQkAwhlk/dxq8cEJna9WpDnHQGN/7VcPo6YFc3VUD2Pl7PWkdHeWY6PLB0FlPg6+AvSk
7jdOXKlYHsbDOZ8OwSYdknTF5jjY5OwUFjD31WcTHwmt7Pvf5OdGkMosVNhtl1KM13XtZMuO2DeP
y9gbcc7kQa1Lxl3Pc2QjD1K4iAtTeTJDz9q4Ef6n/OS5X5X4BcxMvBjtigWXjCvz6IIeSTTDWoWm
1i86I8LlQh6sQ1Y0TTsjJfdgoHa4EXW3g1LZf3SpbJW4GnLCEHAqrMyq6tmuugqvVz340pZZtmgT
Q7tEjs8WFSwEeO51qI1QBCAkgO+JvU2nFh0mzPWxKzW2gESoHhLyTLMC4cutqFMSzZy1IzLGMLgu
uDhZv8hFLTAjrF3Pvvc0VsmBKn+TJWmAYp6NO11iIYh8O0/3YQpNFFLHQjB6QbQqfu1kH8A6cKAJ
uGwTAPd3oNLbfTNq5jzq7XJpgqE3/ICEpJdgo5n36TYYU+6HXJawURoxt/Ad936wunvP9I5woz1U
wkOJAEvUrFGNz+6Ip0FJlhDMlJRagonBqglKbfmE8VB47IlrEAqpy6coz+yTE+mP/H6QxRxg80CX
tRsvOlsNwZ4hvbJoBR+sYBe3KFoSwIJUK+pCNAxOdf5DFEzfl5eZ1UWTBOV4iTwXJpVS9zATtPFy
rZMNc63GNtiLqYtoYLegnw3pIGryDjlt2cDFt5YaYBKOVRyaJn47i7U8WmYteVf0J6pJuJ4+11Oe
RPyuYrldxbwJj6WBZShOPCh9K457FAd+Bs62gWmFNcR4NEqTF0AS3mFNgy9lxmNRSJ4qY4/zF9/M
1pg0T0VdbWc7NUKuKQttdV7oMLua2CQL30frUcaVKysQLtJd7SIPgzHXsHq48/nU68Ea4o3E1rJQ
vRE22jCFEM4gWBetIeu8pkFuOrkKFyfUX1tIfUe//TloGYnWBjkSxyZwmweRtavcirXYdIbyU5Ve
K0VZHGrrRJZ3WLVNUC8Jm5KiyGFCdlL86kZ+9NWQCPJjyVB/4XmvzOvQ9R7AogRLPSzdsynzowii
b2yuSMA3OMaojcGrZSqKAzYFoGoNh+gAvDaa1N4ydynC0F2sXrTqPtAriI2yGUMx5wsOnRCDOdkp
461rYjacjgqK8vlIPECPjBijEkm7E4fChxLIaqtZ4ar4VlfWDQyjXi22fVzq136dgi9YTygK7WFn
laOtj/6qou+wURlnjjtkj4pvVvddhXVrn2SPutUunUiW7qaFuttUyrMGYvVAgMC9Fo08wRJt6MJV
ouYhApttLy3zzMdGUI5jcrHZD5zysn2YIs/IvRawY9b7OwMlIKzt43FtOK69j0rpix8i39PBkNSb
snrEj6Z8zEAj5RrqTbknlY+O1iGSNgwNT1iKNnngtdISmnFr94RLUneEuuWe0tD8qYxj+OwlYbkN
ZMySCseLcJcm3aN3VbARrTAicK7y9Rz0Cq2uZCyIuEgPsq3L97w/gLFQ3VstvEUfnQeTjebekkYA
g62hbQytQgXNlU0YU1G1SQAwLeCBm08JoYQNSHx5QVyfVnyT1nnG612KLIMQi1+udWCiSzFWdVpv
nSt5s7yObQCd8bYnzjd1ZoVXYSYJMl60Ri2xPx0NsmsRmBYvLGQdV6Jz2sXkN3tsjkVn2cPctMQp
an0d2/c4KpPQXovOWlurWNTY7rU1NiucMc2k2FzHBh2Jt5aUkPgTohEbNjKs0RpLt41hOe259QZr
hfFFfrCjPeiT4FGq5q0id4+SYrWPSdl/gUXlHDM97TdFC3lT0vrujLvyFhlVB+6QFJjXulr5hhNE
frpWtYgVnHSSza6cqzi7s2MGaO7vkNbszmKOtESojf1zsLbTfp5YaccSL7BQ2w3jvedB/Ib19iMl
OPUtz311BsrDOCeuEW6C3t7V9ZhcGiN6auTIe4aPjFCPrmB4h1LScxnhl0SsfViJVsAD+H4UsbMT
rZlePiRV1l68wNa+NN+qIvE2qo9MVN5hQYc+Z4l0c4ErW0iSEynrcdg5OZrIGB5bf5zi3DHsdGRK
1fmHDh9O9UTB/24gfOAZ9y4kzC8mfx4JWWC8veN90fi13blxthMlyej0c4hFgiiFY5qdcFz/IUol
fzT07QCn6B7J9bEsmr3dk6MTs4b1iMwWyJRFaEraeXDlt4MubS2p8863ahb8+S52vSfR6VaPtqay
9AcyxZ8aMi+UMXiDLXDrLLoQj2CvY9qH7v1ybsuG0SgV5Qk+/Cro6uHVHk13MdaAmgcllY+ySrgL
7PTCDtkj+0PpY0YGCV4cikkJRJwham5ze6e8wy1UQESd8n4WZwnC0y2Ekk8NorNo7RrJ+9AK2ccj
hd1VRCWIvV5nrSr8xCpkzsMGUjEBlmFMsSoK3g7oKaa7eDqIs1vDrd+t4VO/f9HlNv0IID7CYIgL
38aJ4q3P7Ur/osunqW5j//FT/uPVbp/g1uXT9BX2Nm8f/x+vdJvm1uXTNLcu/9v38Y/T/OcriWHi
+1DaoVg1fnAvqm4f41b8x0v8Y5dbw6ev/H+f6vZnfJrq7z7ppy5/d7VPdf8fP+k/TvWfPynyDiWr
Qy2bIxDC0i6YbkNx+A/lD02kohiFq/rbqGu50TFkEbNcy9cBH4b97RVEpZjq4yhR+7f9b1e99ZHJ
O4/LW8vHmf6v12czw9a700NW57crXme9Xud23Y+1/9frXq/48S8RV6/hQBhFh1/6+7d/+1Sf6m7F
zx/0H4eIhg8f/TaFaImni36qEw3/ou5fdPnfpwJT36DFi+WBHg7Vqel9a1mCiMeAlSIO5EgG6GkF
cociGC2cTQrbXUh2lanruMI6sSodVpRTs+jYDx6YOMAriMjW5U7N6l5fiGYPx3g9do5gfmHQiap2
dOJ94bAKzNVcXasD6t46SSV8tos5aQaglwSn9wYB133Xo1k/w1+QfDgmxW+nRj9G0lzUioNqvQ28
VV1HT+NcXC6leVnF39wAD3Ic4Ix5miTRmpwU8Sg5ye5BZW70Iq1PiC2l9xLRl4Ph1BfRJnoV3LmY
W5X9Alp4ei+6qSi/znyCLTvRBaMOlkgpS1NmFR3iPAPDpYfK7DbRv7w6/jQXy1Bdgqh/c2VnQHlJ
db97qUYEbhJcHEFigQObxBZF2VItHxE656351qC/dzF1iS5ZTxf84a7DxFhxEP2c91mMIsJGToe8
q+QwWrQyJAsgTsWBKKEVQp2h6Xa4dops+wj6clh/GAPy9I/uH2rRWoztea/J3Uyq/JS9pm6eWsz0
TuIsruJZ2+JE86meBVGwYH3Kb+jTgL72D23kodbwxxyihzjkbG9RgTLb9a1OnPmx1W6gQf76VC8m
ySt7X+ajuRONosqKu1UiD5Ooc2eAmSRPaEwHrUT93iyda71oFPXi7HYAXmfuRXEUAnji1CaZ4pbh
21gxrNIDdxFoJT7TSdKvgABgTRKOqjNDX6+6YLNNkARbC4lfLRBqwnZmvwqdrL50nlxfSiW3dlZr
P4qqWz3yW49IQtvsNegqDglw5JWpe+18mEaKuus1xEy3SnEd2/KG63VEg5yPLyg6VzirQNMVZ4hC
3b3xdT9RdxHhc/LZte16Lji7gr3r1wNoh3rhFMHRJ4e7k2tNi1HyL5JqJxUShvAzV5LLP53XWJTL
c9Hdrcu239cKQpBe1eJuE2pv3OlIahyb6AY06ttBy6t+ZRDNF1UfunxmXot2L7ShY3/oqkluJ4YL
IjbyBbPAbYKvRO9yQMYQpavYNvf+BIrA2lD+mmSoA3UFFIf3Hr6pKDgpd8lc3X4C/UQJ4POVqLRG
PzvAfzUIgCyyd2wQmkZ7zJzIHE0RQO6U+4As6l7E9cTBQkBrY8Z1exXNy0f8ethSxPc12bBrP6AW
3RLVkwrpuLy6mxQKVkFdhgvfCJExBSmYAgfBc7lznfIu74byTtQpU10DqdufV8RoV6Ismj/N08vh
GYcZb9uaVXdo4T4fnG6SURbl0PW1va1i2pv16eLaQPAJPEBvNd99rQ5I3KvtXJa8fHGboUnDt7k+
1WGnru1d9fSp2pQDaS2pOAtPrwbxuvjwXrm+bWATjXNiCMqHN4zo+R/eSNeXTOcG8twD9DSH4WfN
XYmMaYLBGGKrGW7UZUR6hUP8fjYAt69mt7JobrvoOuJTvSiyg27XIP9fqq6xsbTS2e9KDiTmRA+k
4+2QutVbUffqWQNM5CAaRf11bAsbZ+6N5bi8DSOq7i7avFDmyCmh04pzM5ZCoNMXqq4FASBgBeM4
q3rVBlRGd3VqdYc0TNmYBlWxDce42EZabMv3nUHsQMaSZS76lFPHSFAVhsm4pyHrRhzyJKpsHxNJ
FqMd8iCVIidzB6Hj2dhb44bXnHKGzKqexVmCsLo6YuR7q1cNEHKJaqBdRFdHBlQ7U/rcWFt8bCh+
VN4OhPX4S0B9LwLJmTIDU3Og4+isvF9N1FXTJftMIiXD1W4fwC9RDW8rfBz//MH8NC5Ax+hzGKzq
doyDAo2PFBe+JkGoUsJYUkWL2m+S7ruNJ8K8hNR/cd/7Bpo1furbWS8ll4kL/2R6CimApkIcLXYq
wkmpt9HQa+quzYUZEJEE6fBWl0GsyvoiXokR18FiHswaCeoVPk4e01wlOmbKQsxo9v5GdPk8ZJob
am2wFyNEK/Zxi1i1rN7EZWxyD6zwbuW/zvxp+vBElKj45pshuh5GFZ+LMqp2vepjuA3P5VH0FXIt
f+4rt6NBmgbog6Riy2IpvJIEZ6BSWwkyTERxIhTIeM1fWwXbQLRaNkAH0SrGZg15yDcZXpd55jp5
8hkGZSrkYZ0IfAF+6lYUrQUSJNfWJMv3QakDaKqUdQjEA7FmnBoRKoHBM53dGm51/tQKgkNZmyFs
BdFPHLraemuAu/FzJMM3dh1J1NsAcYlPM4lLDKidzESD6Hy7djx9KNBX1bEA1qRZOta1A3C8wOzD
V3hQTj3Irx5fAMnCQF8CwFdeC0MBZJUPD0PWwc+TIkTNWg/J4FS2SH7K7tGLR/leCfjBTsPFrGmd
ltueeO+/m9XFlVvpJcmy5iwet0ZnG2vFbWFmg8/C5FxqD4EaeM94D2y9gmh/bYfjY1Zk834SRoM/
l51UzFlm3tQL0iJrZxNvXdHqYKrBn8KUolVMCSuvO4jWQJc/TJkOKYli5rDr7CcphZgMg5OBoLea
e1mK6m1j++YqIWD/RRqDk3gP33rEAD+3eWAZK78ycMzQUafCZHU0irVYJ4/YP+91K51/WitDqmQF
PsqytjfCt9a3OtESVOWHlqHn9TO7LtVJ+Gy0rMKLGq0FLUaRPdarHd70Und6L5IU9Y7iMKbWFnJ0
fjQlB6xab2ebSrGDe3FwAHjkEVg8UULbQsXMsd5rrV5F6Cwn/TppupaHLANG7v97C5e1eR0EyjpD
ii6aD7W8y+vGOooug+p2J9Me17cBKq5QG56gsOrFAFfOjHltFMG1z/W6Y3TOs8y/TqIh73j2BxKf
4lNYwPA3TuEaM9FXHEBNxwuwTd1Kn6YfJRv1bT3yHqR4IYdou2ZN1T0MXqnOg87wN6KuB3F7ABX1
E4O47kFUFZmOVFAiH62pqgOdjq22ySpyKuZs+u4140W0ie46dnFzJ4GyU8uuvhsS9xXtkG7vYGi8
H9weFLo4FQce75JU728dPvfCx/NtqOgjim5We8VMlJE6C5aqMbbXOW99kiwc3PlttJjXKIe3ya5T
iHKeWI9yV3rrT13MSuaN6jlPvlHqyCQ7+s5upQDs4ChzKg63smgXPUWzhVTWW09RNm89r02iKwmJ
Ya546IyITmIOcXa7pImMnTb/26uJnuxRfVQHQSbKatWfLQQGF1hqRktRbB2fulbrz8isW7MODYrV
pwa3i/EfCuPt5/qs3/l5ouzL/0fbly3HrSvLfhEjSIDja4/qSVKrZUnWC8PTIjhP4AB+/U0UtdSy
7L3PuRH3vjCIqgLYlrtJoiors2gyd0GLjP6FqWq4jVgkAU7KvU2AneXZNfNmETbTsKMhHdLOh35H
nxxpVEP99tw546pIhbgr9Siwo+iMxszrlBosHKcOwnKhgsbPMugkWAaC/JuF9u94CY6XCT8RBrI/
mq4vPNpi2LRxDpxS3YAaXg7nxjPFBY0AwFWGFzrwxJVAEDnhPtM2vwVQdZrA+U9eVOu7uyJi+9oO
3iawHhAGCPriRw4TWtHytTf1oI3V04G9LY596f1zjUdrIOBdbnumgLqv1TLqhbqh4SSrDmA0N17S
0PAz/lBUT3mavV0NKm410peut+OZTIG6KTmSNr5WywCXKPSsoeqzAsV6eSJbDA3lEVv5f8f2jqNR
7kSGUE+iKBrSgcduAhxNGa0+Oa5DaGjZG+FAOLp54pZfnUbFozO6ilFsAiv/0gHwcSWHdtqgCi8u
oR+Lsxn7CyjQ5X94aa7dBQuKzbgfXWg+mvs/z6cIAXLaOeJ6hffrk/O6BkDB4PIFCD1wYvQHCHB4
pU0Kon8XzTsn35BrdGZEIBJwhh+NTKJ9ojHWC4ru3NhbKsHHezpIsKaeqrBds0aq+8JFk0eehJDu
0f9CUEx/DVunOc4jH2W01nDGRUp/jncvfbr8L94MKbEPczs9F5rC4lJArPAGteoIHU4ZWm/SqtkD
LghuKQBgH0axzGJd8NeW0kyCvTsW/5BrDtJ63Vntx+vrnGgos4Xqo7d1yAFy1f+P61yvPf7Pn6fr
J3MJTfh6XWcOlDhbtu2hzbKTIcf7Vtb3/KhqLINXr4wfM5cn+xEtwIV2kGkg7xxD4TWactaWDNBL
oqdQJK1NQ2OcTEAEIhA+ybRWazKSe74ihY9oQlqj+Qoi7H6cvt2lKwWcz6KyubrpJrk27Tq2l0hq
2Pu4zh1At3HPlxEeeUcaB3R/Jz9yOcpfV7WUN2/vNeEY75DlM27xA4nu/C7zoQopIbHzbjO1w40b
dOY0bLYXYN6x59O8nF565lQ7mk+zaIKFr88K3xTQouj55Bj63D+6TBkQlRzRzwGhMmAl6uP0rlv2
aUgOsimwWkO+Ea21/3MsLZzF0TfPBSNa414qgxtLOrMBWpnPCm2rMsO50Nn/Is73fAOoYCQz/Wz9
iRuLhgwwXqOIAZh958wieyP66AOPVgZoQQbNyxQCdSfLi6pn9BovbDsHxnm0OQDMyYVrM2RdU4j0
IiVKQ6dG6z04kgwAmKfymVlIwiMLBMJRHYw3+nmNCe8094knLhGalZ5xSPGztfEeA4ULF0Lj5ras
vIc2dJvdhyGaQ3Z9BEKTrdEGszcCWdk5cW3nSHolUGI9O4p3B5IwCbVISRsbYMGuY7bySMNkTNz0
CKXfeQLNooPPs3kqjWj+6KTJ2gOUZlX5dYZcZ6e2pRXzc4VGq3VXIU9mOw4EjbUtNKBcV5VuO4eQ
Q2EBaEAHxb5i6lcXOdYeqWF+Bqnp3kyEebI66UMp/FmhV+wstUt10jhZ7ngjuRfES9xC1T412D9z
pI1mLaDT7XJJ17x+mCwC13cCWEwFDPuB7JkM5LKGxMd2Xur6YchNHzDxsvmDXJcrn60g9XZFwiIQ
JmDHyPV+0o+N/gZQf/RtGdjSL65GS03A3dJ+kcKB+UYkSOvnmOsSV8fVdl1m0stM+J1Crnh8Qgrt
GQ2VxqMslbMtO7u6kXmTPRoTOMsAfPzxe8AYQ/CiiZCWISogZaJPhoPIi8gATeHylVvnH4e2HlIw
eSn4OiTvp7mlC3i6BMZ6OWi9tjwFHmgM/RfgW61wH1mgS0cTD1i+mgr6bSTWhtwuP1F0O0KKvOHD
oZT/ZKVj7wUong7oJMV/VW1UINgxhhIqWNrqcxSVkBIir9IhdEaHpkWT1Oz5PHZjyfdu/6MKQGsv
KY6WozGSSB1aoaGWpSLQtUdpn6MNGgc+WcK4GWsk7Cc8R5a9Azmsf7LMzg9AA1dIfcZ5fmiBiFpC
BxiinHpS62fBOu66GO9WhWfYp7oy0bU+KHQAaikpPQRrlLoLRNiJpQcxYPI6Zt+cJ1CVn9CA94xd
Z/nS5cm0sMo4fO46wJGsvlTPYR07CwjqFc+hl/mLsowCqCi0UMF10LPbcXQ0oWwQ7C2PQ/JN92nb
SRLOQ4uoHkBD82F49VLw/3ZulkXx0huwJZe6+5N3gMfwBlLgcRx4J1eznaB8BhS7Qs3wMET1mmwj
IJcTtHe1W0/J+xJiknoFGw1d68BizdpvjOoG9Cn+OkXb7leWJk8tWgzOZl+zO+hlZguyF3lvr3IT
MPJAg3rR/oxXM+slnGq5xx+ghVJJnn5Fd1u7aKMgvAUWcHqoDHkme8TyepOFtoPEGC4St3LT2YAT
SfBsPsevXCTjz2GKIFeA29q5r+R0A/WT+sa08+gB20Fg6N3C/Rm/Mgn+E4oEvZk6uwloYd7erME3
ic6nQokVKCwy9EBlyBo1uoePjGg1yNZKedkJaDzvrqihcGlEDp5m72dRgVQp2eL3s6t3PkvG8tQV
IMeKI/cs8Pa6w3eR39IBTez2rZOE5tbNeKnFqj86aKiS8FxVub+j2GsEeN6RCXOAOe2z6AHkfsXF
arJkHZqA/ZctGscSo6qWTu9lP+SYLCdbja9R0iTrqYG06zWi1SWS/xpBPFFZEi/zWKhXOzLQ8FGA
anMLdpscvyLDFHeh3oG0IvBWDrSwlq6QAplY2px4ehtC/jBCf4MRO4cAnKEdZKnhIG+Q+fjRQGBe
GVWDphC9p/kwTa+NGvB4aJuTjNP8B+uR8OV1UD0oABN3g2+wzThVxhMyWHMER9PPIlcgHnITtEQV
qA9bmm8d8nPfUHq2DmDWlQ/gUVS34D6/4QU+9tIsVbmBdt2wolg6cDP7Bgo7iEPq6XUXT+iphMIi
NqX32Fwu+6lBWTLM7ZVU3vgiW+ThSo7syNRK9cVjxYpaoEGPiu0w5FRW1OXsM89a+K4LeT4IBmbC
6o1LHCq1But+6aJTBrS4dBCuae4NRx+ANc9xF8EpsLU2Q0tB9z3HvRGVAu2hcN3T/p9Oi0iB5AXt
sOh7rdV4jvX9GmRfDmo4mYNtPRoXil9TKItNW0UKBK44TMDdHibIjWa+8m7IxDlYxMFf+VtIkfDx
kClhLyawcKyuc69xdBal7TZ5X+pTWOrfGYGVQ10dlCssWcncWUnpFvdOlWGjaafJtmFQKG5ZjJ2m
maFxvjOnnWM334cqDzasNydIEUAfMB3z9kw2GfTT8ioc+B9tpp6LDj+0pl5jaK2saYdlB/22FRUe
rwTRc9nyQx1TQL1oEw7DF6pazu6ZO/rP87m8aXOOJmFasis7d9OX3Rc/XoH8cuGwMTsNqu/FOjXQ
6gnhwc/DVHcZQy01P0Kbb0uj91Cp72N0M3u304o0IjtFvMeT3RasvXuPp0tSaPDq1iBgqjRrNR3K
KnTXbd9Mi6uNzjR/5omVAWhsKcbxwUuIfv23edIf0BREkUNaR6dxSL11WWth4feY64oSxGtbVKN+
QvnA3de1czv/PWgI1iu0ReMPcP0Xoco2h5HJLzzcz9+nzkPyfLIh4/stjJp6YbHBXLcSdzZiF6ha
/hOA+v4uArQYGFYIKmqy8jaqc6gvgyeUomiSF/VgX9DePyfJNj29lUqs2BrXgV2g3a1KFTSkolIt
0sodoYSKcQR5nE2vUEokm6FtHwPRdb3G3UqLp8JDbuSELVQWkX8D9pqDeCj5ZaPytjMKxe/pMMne
W3kDpOSvtgbtdSghmtEiL0wb2+I+Wg1aOIwOyFaDb7VBzrsYQzA4auEw4ab8thlfKeCDueutDehs
8yXZrmsgJwfcU+t58xrkcAsrOLEIr5r6Ut379YACyjbTZEMv83cH3jl+oPTa766L1wF+BpXd4csX
sBswKIESRtOqgdSwOXNWos/as+/aAiRrtT7oADJRAB0S76OJQvVEgJWdeeLva12X/30tVcqXIE6s
vc/EwnOd9oEOiVXa28gKuzddG1mCFIlNgb3rtKRN3+fBfZ8LnaOClswQDfY2NBE9j5G4Qi2+sN6i
PbTj3JfYynyOvl6PZph6fbIpewzuR6xPo66ynuNcPI9p7J3HAa97dcrFjobUuhNM3gFdaO2Jenjy
JIAUtnWgAQUJMNOjl9F+jG351uiD6HCb9kBNNQ6awZYdpPNWVotfDs2guehAfrvUdSl9KQ9J3BOF
WbIU57BBn59ew0Tn1XHAZfJAV7bMsIAeuADIAjj9e5H3UM3N1IFMdKjA6rT1ppSBzBFhyDwCaZEg
znQ6dUgNr97Xo5149cYqe/eGthIpPeLolA7gcAxX0rKsBW1TyEbbEjq72q4zPtloARtVv4Xpl91a
oAEUkCHQgn0gDUOzqLdrzAxKDJpODO2ub4RhpWrWjsNAkdlDXHBjoH9y0+gC6ZRW+QZtBumm1tXU
q1dF7MdoAUGDkl68RJ+St/4Ek6cheSuUHGfvFSZPcHpUacU895NjXkp70wnfZGgbIruFLiJoGj1N
FZi6QguM/n5vOU9hx14hyFTckbOTbAGSPPZY51BmVUxsySxyCPHxAX24I4vdp7E0211hVumKvE7U
GusoSFBH0xcIvfrtAvOSo/fpAigmfrhA7Lf+BlSmQL2izUUeHZEuMUTahYa5A0CfstgyS/u9oQr/
2IUqXrVOHH+v0cgxMfCfQgjO3gysdEFqUaZfRqM5UwAAlB7ILiJ+d50JeUDxvbawCQ5C+yWbcmcD
cRd8rRyw1mdjDn6YGF+7XoNdrgeyFRBeAb1tsb3ag7gZNjWAkshzQRzs01QaGgSm1HPRpwu9qPeF
1UMS48vkdFFTLTqtT0EHt+yQqKLTJgEES+rD1U02NUViNQ1IBJHj8xLzOlWDQjGy0CvOGvd4PQxd
3+77CtCld3sENNKRjyDaW/17ipbDfmo/xJQyHrepDL6T8jC4ktmpMWaV4ll42NVq0GSv8y0FkYXO
SBEaQtHshHebqzmCoCQ47VBk/W3RD+td7b8tGkEQqy/a2PeWDJ1Tek9BGxAn9N3tOKav8xZF2+ns
0/4DjcIvEP0CnlZHAF/GNnEyIlush9dYT69Wi/h13gGRd97P9PWwAsDJPyQ8r5HSKZpLm6GBzzQm
NKPktQce4dp7VC4600FY8w8k7PwvFu6fyOFZ4XFKmubAOICQ0C/iF/zNh4UwpPnTkHek86XnODV7
mxNaRnhso7g5TGkJyfVBLVVeYleMjParxP150YPE5a5pe9B5mBF2XyKfXlsP3A/gi1TLrAWXozeo
coWKSnIH6PG4c31lbJnXlmffCmrsfNCHxQPQLWvyMBUP92PfspdPkyzZGGBbtcuzbMB74Cvm7ewh
UDlUJ/ACif6gxtukTsGf0ma8zZSf/Uh5ik5KvL09gF+zQY8pIoRh8qdm6G8pf/a3iPc1/mMEmtgg
zo4u4JXfpV/AS5HfE9ChW5uobj05qm3QACYeCVBRCtPdj+DYmmEOecUB9YQaxoaPYK/qwLe7rXjR
L0tove8JCZEU8bwozZcrWlQBLUmLEoYCjZ3evGhnQdQ9gWgJoMV4TTG94T4y6+IIbQPsQCBONg/R
Q9+eiTfWggm5EzCsaBPZtalJzOJIS7yvQyYIei69xLDwZwZ9vwvQIxqvQPIRHSeXpXetFtLrhCh+
dHqfLoPgFWLH4SrDRmuOcKTZLwRAOgGQdhu3TdBA9Z5PBR1Ae1dWmQUHZOQU5U+vRgc82JC5NLB1
odko2tQLBs4H/UCO3FU5TkivqTy/yytwiTaa762rkxGAqj8djWtgL6EdETJq84y0D/At1o4oqewj
4+AhPo1IVeVla7aXt/zOwL18M6JATXp3q7BX5jeZPkMpFBxEvTCXcaCmWwv4piMa2EER9hZQ9PG6
yQzg+YzE3yrZbRxTegdXhY63Qrok3RQgUgTKyIpnd2ww7xDj3wP6IehVZmi922UMTez0LwPMes2B
/n/uRjB9XO3gxlnbWSqe/xLvajuLgxLIxhZcZCXoPbK0wa9U5yRpbPpRs0DZ2IGgHXIXQWWNC9vN
JSRja/7covLSSCQhkRy4FU1XLYhlU/kpKK0M8B3S0Hbt/z6ptmyA8wp1QpKqBP2tPhjgqQS8EPoZ
cvrXph0JZMqgCDMA9mRCBx3sxpXl18ekVeos9KEYnXVblWB31yM6APBvxy1eOrUlyDvzrkOtmEag
dAQfB5B9kESODldTMjb5YejNr2Sig9sF5c43mZxntnEjdkXj/IJET3cA9ydkjLox7SEOWnZLEKE7
qDENFfLt2kgeiqSzOZzGdpT/KjLTBF4mHY/YMlnreuqHBWEtrQHdN3gvh4fGFENndABLGngL0uPV
DPrepFtUXfc2oWkhsV1P5l3KPEgZGTLwcE82GP5yXROuVR35qyTl6rHtBfKoTnBmJrBcYqzAHupa
xoGc02CaaKiE0Dp5fd+pbyBaHS7J6+NRc3KV9w2dxerRARf0BXIAZdM03bJsjLt6ALcYRZYOurNr
VZg7Woc1+Om0zqDW5GVtN+wt9LuCDROfCDiO5D5h1Z6WpQggIUHYZ9QPNIoLEFFiy1kfaTXkrDqQ
2NcKNFou9EZt6OE5Vo9t2CTYlxDNrCh4xKCJghLpzYAv8o6DRveErmzcmpuoeqxBjrEwByizlfij
hUj4RJALaldmlIw3XVQAcKFTp9hOW8s4FjVY8TDMWSn4AmiG9ISHEvhaKhvNNobtrRKZWMsszH8L
FB5EAMI635hFDRVgB9U3Q5fgwskZAfcelkE/ylsykdNtQWBjBvawoQhyuB2InGg+2a6LWE4HjG7e
3ZLdbI0BkjTQzEK/vnVsurq4qUR4DifDBvUXUVpFOQORlQWO1ClMfuR4loNcRXtEG+AUWjDpxoV2
8IKM4G5GOJ3OoaCuLNZdh7IU5KlXQfAsSqnurikAZdhoCwhj44YSB+SIW3uEEHbbrHCD5ffkyFiL
mndpPYMgI9t7ZVngxhewrZ13wW0loWuQOzEEFcJpWpqNlzzLwS8X3pSH32q/vh0GJOQX4/RaYcOH
v2op0UHS179SO39yhrR47Qz816J/WX3BfiBfAeLbnru+RELAdqyTL8bpRkVet6/NYIAqL/vjyuVo
f7yyo69siOq2UiXyLGX2iqL9xyv3XfqUVLm5TAq7h/R3sQGJGdi4J9vY2qUyvvEB3/OgSxnIsBt/
DYr/4Iie/36POjpEBYfEvE9BaLb02rp6cdruWYO2Mf8fUBuh0jml3wzLMJ+j3ktXDD/6+ygLjS36
t5N9nCbtaZTJtHaCqXz0RAjCaGFb3yGk8fYxLHwMI4yi7x1HEvDTx1BT8MfHiG2//O1jNHixOXG8
Jy+7Eb/neoB8BYoQ+SOoYMszl7it6JEdmDgAy1d4qrglE9622lXQ8m5LQ5ouJmCVaCj5OE9HX7fX
LvVUNAagxxykyN5kx6ueCwcC8VZ+xlYLwATpXKAn4Fz6SCdhIIJ0IFsTRRr1q7muQHJ8AcIoP7vh
23RIgqGeGDvIJtideeyk/XZo9VkK+Ltr9ECX6pEb9xNyKxlH4lR7QM4D1R7L3JlgqVyRYINtIbuA
Esh0BBssNPXMH2SGuiikYnQU6dRQVDEpdaxq84z3lnAZVxX4MNVgN8deM6jQgcm+x/sxyKBj0D/u
rg5IIyDafI9WY7MuZXgDuc5uyZE/21HxLkvBfQWGCR9kqMBZkxec18GOCn85myDH64Ne1g3D9Qwc
mAYhFmE4+Nsythq+IvF3SxuhqeBvSdidxOLpjLwMLG4Lqb21BHamGyRU10ESdjcJ/siIpVaPlGs+
EoUt+fTo6tOR5nvk7/MgMDxHVrzhaCQDLCwcHLVOJTiU6BVwfhsk4xhX0AnRL4tUKqfDHG1Lji5f
lOavh0AZaq0qvP0Owr1JbIMDpBCrVwC7VlUWpM8qbiq0+sFO3LRpHIDJos5mu680w5gfqldtv8Zb
zP6F17cB9zDkXkbN2E4HmTJ0iwxdjHQbbFdvpONyT04AO9BuschycRtZeHBJOaDTQpd5giCMViPP
2Z6qO155P02qff4UNXiJri3uM+zgzwb+0zruonDhx5698guBAqcWZh14O55rhf9SKmv0DHs2Kq+N
3PDOmW3yC1h21gaeN9BMcbqjkWG/Rko1LLPwOscEmoi0jg1kXwpA00V7IK/MnL0CbcVDFAmb1iBz
D2nRo8ixBi3JkQcDHinNF7koUyhYdeJSqboG/Q6ASjWPxaUEcT/IWvzlNIJ9dlnzHpqGYehtatt9
86bYVtNUMv1tvo4gp4cGu7UDTZqgWTaerPQ/pZ0JzL3Sro/4p7QzZ7npiOZI3klXxsmL6jiCdd38
6qVfEw2Fxz7O/Vsw/dZwV0uPw6GIvXFZuIHxaETqjzM1sjfb8H72Kc5IoOU+ts24bYuUH8Tog3RH
f2mBg3hQ1aguTi/5oepUBlVDfDkb0H1z7F4+2OnLHP4bPyTgAp36cnDNdeV6SBCBxOQwtYIdFJPu
CpLwfEG2q+NvQ+QSWL2geVc3LyZ3JQUUsj85LL1+hifuSvocEl+GJe7okJfZI/pXPSAe/zXRGXjd
giU45bN1SXqZZKySFrQprg8KtN+jYwGwe+Z+v5q5iuLrFXKvfLuC5wC7pVnjgiWLRLamGddg18gv
0ZDvDAMsm+heShZ1PiYbCZVPaMn5bCcns741danWEHlwMDtADHSlF0/a9qENQPHGnRq6rTqCHHlr
7yz0kM2T0F7crVqImylrCm8hRyoXRhZUX2WFcqTDcnHIw756hh7ZbG8UVIogSGSv67Spv1Z4V7Ws
snzgRQi2olwBaaztvZ6ODqjoOr2G5OolcrsniFyUK2jvpZfBRLqFzsg2aJvSNjr7fxNnlEgvFCao
y8dRWMuAT6Db13c0Zzv1Sr7YTKiDMoFZJmua5dZyHHBHqQSHfsW6m0CCHUCExwBB3qZpE2tLQheT
x28dqzQf0nxM7+OW/SQzRfmxb24L21YvOsoMvC3PgYcpDfuCd010Mzu4CaAe71zIVgqxGtHkeOYO
9EkSCDWvPKCutxRBE2yFdKcWgL2QTU/oXbC3znkAn0UxQHzpGqzd4hlw6WYX9g1bC5368mB3pPPR
XmJb9Krj/2Yfpgzqs3W4EKPobtNi8Dcp68t1WYj8C2gM+Q10KYOlCGX+ZRANmpa9yFsYAYbJFCIp
oXWOKNji4PPp8+GWnGmVTA8pSMgivDoN0Nla5VHJHlk3xOfBk8NNn7q+iTScK/cVHpbZYrCicGfz
reW0bf+THEYJuqtDzka5n8Mh2we9GYhQAYxVg4VlqsZbOy67Z7lyR3t4No1WQnBqzKBmgmFUdZph
0oAMrB5ClbSCuAJaWWiYj1Awi5zhgsp0cPY790Rm/HXBUBQB5F6lDZb0oYKWQwjmhryepV5DW8lN
mmF/d33cIjuSqUWMDAm0AD48hulpe334huNaN/V+CCCfIAUWOCfIvMzPaprIkIOOQYZ0tMHujj2k
NWx6XWXLu1E+xFO4kZ2I7sjUmT70jkXzk3xkuk662n6fJMepPljd8JPi/28nxR3QYmB7wEfrWh95
Um+8C5IIUI+qHXj9XTXRwUjwtnkpQlk+Fmn4j6XfumqviRc+XiZPoBPk89D9fUjeazAyVu3pOhxS
dJxZWVSvAmMX2rqzeOT+dI9RRH3G/V9H3CuKxZC59QMgIWzp5IKdfWapDWSlmyOI4Pr90EIsJ/D8
9g75Zb4yAJj4MtUQ0lBl3Xz3a7FrLeBtFyXg3CApgFBozr9DeUe8uMxjyxTltnnJ3tC0j17xtuQw
AbDUDc7bkmgpP0b47sayHV6MkvWgZsSZQg/eAjoHw0vR4pp0NmjbX+NKPoEmNgBh6XKUudiQNliI
tMrJ9UBxUYM4eU3DpmsgFA5FTlIKI82wKmfe6d1O0mIuEhh4GKcJ3gVPfgHZ4AVO7BDPnwWkOuaT
j67/EmMC8LPvp5hvoo53KzF54S4OAvXiQc66G8rqqbXK5JSBIXoxQtfjhcJiKD3uwBEMnU3bW1Ss
D26SlIVbgWbFFRqT7XU8VPi/rrKpW/Eyg+4HjZW0O9CK2PZ6hKgQdEHdac1Nbwss08/QUdGOeOsB
upJ3dPZuv5rIPjnWHE8U92RyNGBkhB1P1WhHdjKR83+0f1of3/EPn+f39elzBoToeF97YM4mQFfb
xjJcqIW/H3oQ2SrW3XVFCt73evBRuiiS7w33wnQNbDvyP00HkhE9YY7hUwKhl8SDKkyCu/SfS10t
78vN0xNQ+rpjDoVwrYZgl47+FrXVMrD8bEM20k7owHx6O2TmgvcMvNh4lHI7snYojZozbmzwM3vh
tH538sAy/yWu+dsDOKnewmYYmQ4LZNmdwBrifkn/DZvk+Mdqv4fR9DKM8F/s4tvPJ2yMocB0JysH
mvS89s5xG9tnoD0H9A/ji16ax0yC2YIiW5vLG9flPrgSGTYlOr6ZYlAdigZctxSjDMddNC3QdAw1
ljlGXwHsy86HK5irOTwbwukI2oh7iqZlxwD3LT4Xh8x23I8eUCt2aOQ3GXQwn8wKJYnQC6MTDUH1
t21yGV8MKNJdcsVXSve4phln6HpqywUNp8niNyBjNmdvNgoAYcaiuCEvLSkguHGioV5SZeDkoyUL
0OtkXSRPThSCFsUIkKwQS0Z5E31omxwwccjBHSmX0kXVBE28ONrQ0ErFcGAmNIv6WhSPEepGFzub
UykU0NSgfL5Ob9vaXAZet7Ykh0phlATnsUarGtNqodXQg3bCkwAadz3YH/6MGHx5aEY86j9FADmF
tLguefxlDQ/799UYc+jD450lZ2sgcZBScbmN46Rp9/vE2BCR/myb/SDVB8l+3YAF1ikMa+vUNqoS
DKym6Aiujx4NUTKZh4SwIUyNGJzZdMXUvE8itA5FvZtoRKHvExnaEY4iQit1wsq7LksPkB/0LoAG
exePsSe0cTUnkMR6kCyv/TXy2+OanNIzgpNCykpqJ5mKIrstvYyBlRaz09hJ1mipbzY03TdbCzvR
5vs8W0+ClMYW8P74nkym3+OlCsTPW/oEY+93BwE94AV5aQ2GGlxhsv5MpqEy0EE0eOkNfQSoa9d7
h7kmACD/fiIw+0D1y3ggizRzqD5N38Mk7neUgGtBkLud6q6aE3hDzOUtHrRnctKXDNVYiL4n4kxf
MJFKtH38Pr3Nq2olXAb65iL1dzGeA8Du+jsZ1Pmjw5LiMcd7Eh/T8S6qOb7jDrOXDhPtDTmBkJ5u
OIgSljThfTruVzlIXJW39t0yueX8QqAJhofQCpDeCew74LtPaxSVm2GMv4MG95vbQd8HRCPBLhdQ
Y/SyzHrFRPLTRFUZ/spJAJopVoaZsJ2jIfiWUasblMUtDb1oz6gLO4uwarKND9aCATJIL10ac7Cd
Zqhg6Mqi1FIu2g5kLftg/z0eNcMTCxrR7dC6PALCmgKpoDN/n3KAlRdXSx6joHF1fEgWNpQJ9Aaw
ahYx7uF9X4JLYwjPUPEKz66FKgtej4NtDxnbMzgCkPN30fo1+MGRIliYWPdj921SjpMss0C4mj78
V+gNbrJ0NDtwo5ekWFqDlnTqBpp9+gp1z5C87aDeHfZoetM7O9yXXMj4RXJHw4aZKwFW2C8xdh54
bfkzjB4VvQMF7SCXfw2r9WoEZH4P0/uYeTWy00WNzm6vF6XVuh6Myn06ADgBYbKtnNL0AF2w7JBb
hr1VQCHciaEEjL20/EsXInVdM6f8ymLxNRZD9atOoHeXeqNY8BEQ6EaUv7qg/qoMUXzN6yKBNE7q
XRTDj7kyRHYHgYq3q9TW+PEqrh0na9TBGtAfv9bcfGONgdL0cABmizhiPpihDTnTyvzNRpM0BYcf
WZDYCPx1htzbBSIx5d5ByQbCPI59IVvUvsjB7h8GC4+DwIHscDOBC+saD+krQBpbE2+pjdWc58Nz
LyeIlpb2vaNGd8/1y6oL7MbGSlWCMvbU3qHYPgLt+rtxFo8nI9eRydrej63v/yxT82iC5eR64rnW
bAn+PfktpkwC9RTL+pXekeltmV6UVQ+x+TY0d2QfAv9OcB/Yh2z62kWQHbimdykNrO02g9i57UYb
6jxQw1MVQakCUhHWKkadEZJzyXTLw9ZcUoATPKWytpeiQLN600bZsp3MaDPFjn1rAHE7H6yAiWPQ
2us+D5HeIgeFDJBbWhb4kW3I1qP/b2U6cQRhuq696wfQhUgnHTdl0eLvV5cGEpCt2uOlUb2APdeD
RKVj7Ds9ZGxTB6P3XIGW5uD4UO8TWjvayidv2bWg8J88owATVvWrUtx41Sd+Wr2dWODHTVsIgjgW
qouFlVlPtS/lSnStfTdY0BZImzjfo2AARodwCtYVgypCYoXFMqtAvhPZU4NvIM46H2hvAHkwNi0U
/ZLRtNb/OYYC6ZAkYDsROvq6GJ2J/FtRyADbLX6kLWdfiumeGdORZMjShKl77aMdJvkahm+L3py+
+/7bPPChgOV+tF8byDIsQHwkLoKH/kb5wNgMoDE8sSSI113dWk+l0X3LyzH8xWLw4OGt7gfonvli
1JMM9u8kgG/HExp6EjBrGubTNI7zJMiqzpOaEgktwE2MsE8Pce0Yy2wakiVyTukhCkeQtJNHhol6
OyXXlJpIoDj5tOcjCmiFbqssDTSCxxaE16EFFh+DEAwaRt42D4adVMuyasWryoc7z0Gv16IfvvWt
L3+hZeof4Tv+k5dx8DD7o32XemYK3adW7PGXrU6p4mzd2r53YUn7HIfRdtL1IzoMpQqArRHoG6dx
xlEuTp1xb1EF6kPMu1v4Qu1pJE0ozksVTFuCBJUjdMr7Bhm9GSGk4UOgZPm7rXXBQEGi1BRMceP7
XEId0XoU9x/XA7dXdPJTeQT/BtpTTM9YXTMsvW0+giUdmBudpClsgALL/8Paly1ZqitLfhFmjBK8
rnnOubKyXrAadjGLUQj4+nYFuZM8der2tTbrFwyFQmKtzAVIER7uHgNVmUZH6wMNCqHttF1sUxrc
LONbjW33KfGDCrtk0xjwN4w2c3NQBbsbVZGicjcJEC4AcVKiD9QBJrtw5Xgi3n/yxmp504x5f12c
Pa6JvbPq6ZMbhNyT7eAVDbjAX0EQE1zbsvKcVYd4wDFwwtfKtsPb2GLfsgH8fscckI/NLqi5mlZp
Ehp4uozFBngiiBosz6fBziuQWW/pwdSR3R2lexN5V2yUdqaeMEcGbmW2AAim7ez8x8OPZi9sxwLZ
IsrSNdsh0/SIkS1Ql0mnJhEfLl1kVFbqAtUHbIYeQhp4n/zi3irjDTl6iYXyIKfiztF21WybZ3DG
6tBAps2NV0VVQG7Cstz7JJvqg5d0+VE43ng3QQgSGnFp/TZA7pEbkfGPr+oDK23+rePFsKZBBUvr
g8otMI8EcrxzMOU8qDDZlZ4IrugOiBGxeVAIXNt9kI5bGwp9q0JXKjBdqUCHaqjXCFoFV8dVFnA1
emsPro0Y9FcoPQAh47sfdk1gLmmrGnhzhHxWH4PNMlF76KNB3hjpnDtghoe7IlP11WZQqG/tgkF8
BzwqZtKMpzIwH6jFtInOwFuSHyTT5Ql6KE1CHcKIsp1ZAX7Hw0a8zxLkebexJSKpieWHyVa42GgO
mQ1CwuVSyC3h0wBBc6DZhjE9hGna3lqQKmx9XyVbuqNKfVuZiXiCkpt9oVYTBt1V1BK8f+ijQ1Cb
asuAuNimZfBuQ+XqQ1ga/nwvoqpWXKvJuSN/uhVBHt9uo1jV22UiFbb3DmSLrzQPgsOg3xh5iiAT
KFUqzX9lZcnvVqX83ush3t2GYK0ne8s8vrYayz43kRhe7DTed6NvveXKgpK1aMY9uWVIoecWNvbN
1Nun/2nayTaqFVOg4aJpi1CJk0OwwMaQzgFVg+G28KZuRyxk1EwRW//UjHWTKMvMpg63S2+oEJQw
xe8Ir4WXHppCpzbDt6SmGyNaXjIfhQi6N/U0R2RcAZeom2YK7GGrafqpiZRBcs2qLpub0ajMa1QZ
/8wzIeNxSyPxnVpR63m3vjO/8GmaXjrRdncGdMSoL7ac+L7Jgxv1DUAu3jejA84AXBGMGvUDFliH
EAQrL4kxGcAUjTvqK3rbemQgDKRx0pPN09gla+qrpih5ZsXvCr+8vUqBdZeh6J9UITLQcuX9mWly
J8CGnUNquxW0dMAXNbugmqZ2PO+BWqnIbWAAE2tHzd4aypvIghu1aJDAAn2FAEF/piZNyX35wLP0
edS0J3nfZI+GjtqKKnb3WGD0kLuJq+OA2v0buSApE9+gQXFcBnRFa+5RCAAEhZ6EDrJI2nmSqKj7
owPo8goMEwFS2RVbpXUANHPlusbKNrwYIlttsHHlFN5XeRneo1oyPySQN1qZ5FPbKLMTlbxRLx3I
eTyJIGL3s1PW4OHS4Dcwz5sFYEoyvSw6LIOWawl9GSsFhW2QCW+DgitgSILItM8e/jgfa4FCJUBr
U/vT239IxnwrOYLgVWfuU5n3B4Zqoaco9n7F6VT8FGaAzAEvXwrQpf3NIWv4SzCW1eyAF29/qEZs
uvQMOTZLjxw8MquEQdNeWFF15bnhvNrtbgqL5LWqh/o2JBFw2toshYr3GYDjOySjnNdl0HsTq/UU
kaxpKs/zm3GwA9wjSVyivA/ySJ8OMgTgLe5HqPyio9HvVjqDzDu/YcOTOEOwIUtg21jnZGW5D3MB
NTzPDSDrmrdbr7XTl7bAUjDpou5XiViVYbvu7xZprIqP6ZvXIaiRA5+NnbbE9hDL75NVNSi208ND
iN3MwyffbF6Q8ui3aY7VfqOxEEzjI9rGxeuSyxu1uAk2hanL2rU1WsB36F7pq/feKEK5fO2VQEzp
oR/jA38QOzMAg2kCCmvEAlAI3+saldwBrQpukCfk7X1wRWEv0HPb/CbVM/WH4Hbb2E4wnWlgrgd2
VNwyDc91nownrssq6s4XN0+fUTNiIe7TsL9YE7S2wcIBfsa6VBdyI4/JiMp9J0EWewT4SK59r6iR
8RyNuTYgzNNylVimurd6v7oB+2IAzYrUKVNVid9npcVJ/x3hRFnwAEJAcJjn7k/e+u2ZXk6ySYIb
ZND2XYw3/bqxo34HJr1msyz19ACm8u5MJgWavp3pOwBJIzzapmz4FubVEcQ7xj+WZ10gXDq9tWAW
WHPU+9+BN8s4eNLsDygvBWpTD+Ie6hZTsz5OQ1zeTaErVtko4muuK06zBPBoBUmgufVh91pPtJtC
FSfhgEtxIZkBLBS6PobkYFc1xYk6cvy8tmXuIsdvh1ByleZ4rcGQ9ip/V8qSr5E9RODIBStaUAfO
awv+r11qqWFHTmBtfR9js9p9tX66UX5QtUgeZO3ET3bhABifm6CvatLkKW/L5oInzht1TnFcXUFR
fRUDyy/OmOUbKONCYFE3A4k34IpO6RAaKR5humccMvRwCHdqoR62JWPv/QAkLn9wR17fcuBHV10f
mF/jZjA2ZW2LIzUzZCygjqleMktvwYCzXcVghvkapvUAbIXpH3nsp2dUnbI1lkMrmbXtl6mI4qtp
jAEIdAEDgJBstzFKPzqVuqndWu1mRnV8RbwSmmhRg2QYUFgbUNnEJ2p+uFl6NoDFwI1GoIKp+YHK
DjBsVeX3gCGmriPmqdkoIK2kfxsCUV5QEcc2Hx5ISaAEIFVqzbRH2IFSnjygSVR+j+r3OcjDgOIc
uIjAkYwHkvnYIZm2nWrUgAxlbT2ilN56zNtg1yBKeUceRZI6QBwEwwrRKfDs8pRNKzxtxiM5uw4K
s9uxAeYKQ2lEo+dEOLLZuqWainXFjN3Qe282NLWOGeiYVp1mhvGmsDpTEyI1zosn2/dmNIzJLkGp
8maoW3aoBATDaK/O8K0PbamSDW3kqZeatFtfnN1OhWcEddIVZbU6twNVcCr6XdL4BkDKhTy1ruOf
TaC25uxYFoKSa0CGlQaQnVJnzTgk+xEYoHmmZcCfcyJSBFXCTRZj2WPnALrFRZ/dBxneaMPEH+pQ
wAQMwXmw/W+LqU8ZJBHcQq2jLpfpmsdFu0mNLtvN7SqaNGd54hznthXi5VuX4kZTlAXL7sdBYn+o
BwNvN8+fo8QWJHXDKU/ORaSyC1Y774fJTwH2+bMdlxWY15sz2WlEFwYOaFRNoppxblyDzac+hGAw
Ry2lExr2imye7sC/v1wLgKK2Cw0InSGMjjQqkHZxUjxN3ug9Dy1gMmNyJ0E590wWx5iOoI+Q9602
9Y5Zr9JK8jN5CGQkNk0LJbTGaBhWVCiVbGtwSNHQGFKyJxRjBStqoiTWuv0vV+JOLe8TQFwaZOED
mXuolJ7q4tzpQzI4aMsxLoAZmooznVF36coB5MTOAN7GjzERuVM/eVZTBT6fP0+p32j6egsprWTv
5lG2Id3wY6Grwyr8TjZ2Y6qrBAD/6uV5tslN2zkPrPynDTN5sZR8P0SpKy9kYz749Tw3P1PnpD0k
2BoQR/twoZ4BFXSgdAavWmE8LGmqqefx2Rzrt/ajstxFmoFMlKaig9GBolJ7UYtcaeAUd/PAOaP1
71zL9P85F9k/rrjMZf97RZrZFsI5oxYbj088jOoMlbeE4PU/mtju2C9ph8fK0ovlxOcm9SIhHud2
c3U9Q10Huw2PeLWdOjsFYods86kPgMoxtawT2eggWIV6Zn1AmQFISl/jDjsI8Ha1fHwxAL/3U+O1
6uryh3D8Vx8/hB+ggp5PgCedT/6jywwH/gVSGSfdLfTI/2WK/+8+kABDlRf4u7ee9LxLPTB3RUQP
RZzHuwY6tTM7hMOh7FJVpnfr8JW/2P5zMtnO698Ghb7dzOwQ/z1oSCvnNXLc5KIEii9lYQz3dOgS
nkMrc71YJgTi7lmiF+RZrEVfTc1mKSprbyXYozJljZ+G5nJthHUZzlP2Frg6zEEHJfQVdEzvvg5j
a5+FIIIlm4sM5arpuAA1qKi2PWrqjyFv8y+jMe1FbQPUqu2mkwWLXUXlu52Dse1YA1/3xSuxh/yw
L/7/aS9r1K9R9mpOfOnsFSgvock8zsmyGrS1Fxk0z0v+LO/tet97/rBe8mcKKUxEYRN/tyTFpBu9
5ZE7nMk02+N1GaKijHJukxFml9ipnpdLSzxw9nUdj+tlmibsP09NHaOVz1PTRCaonO8ls9eThQrB
lk0IDOaApNzyirG10bQF6gCG8Db34Ak1HlHX8lJoG/k1dggFRSBI9jTDPJYm+JhFgd0HBU160o8D
lqfzTItpmbNOsj3eN/xMncCBPaZeLi89yvg3Q8Gx4tYLmXnlgRdfNbpIzWqTD57pQ5mPoOrSTVqu
eCJCrk2F2ZlszAfBAUDhd9Q5u+l5GVLhu8Um7N/LtMbof56WBgUGglmpajPso7AMoml7MFpTJx26
j2nDFluFscKqaugM71h1WNnResaPgIOgJq1nqMn8XqEQCamJpUm9qGXD/ZJd/Ai7nh4VxPtwmL4H
HbZEETf7CwjFscajNtdGOqNDEgpIxGbNnoaGYFnHa0MPofYyQ1iC4N/pm8c/7PPMny4y5kGy4r5Q
O4Q4+uPAoyfb7c1vHEKsQeglPwuZ9utmSP0bJIC7C2g8UE44lsF3q76SgwdV4nXJwSlfD1V1FdAR
2VAH2zvQmPoBZed6w2qVXIM4Km7xBOwBUlvJT2Y/95U1fXdQlL6Bjq3Qy+ZwjxQxYg8thDvxzh2/
FabbrpLMie6FYO6NOrAFQG2F7jBQYjd3VAb4l0MbdRRDfeJWDGpFT0OghlY9kk11HlB2Yz8+1ogM
7pzIUHdhHtt3VmM+tHpRmyKVRC3VGfHOAGM+FIEh8hhxbp8QVTlSUctS6EJNqDt7J5Cfz53kT3Y6
jEgtnbyEHf6062nBDm2cSqs7fPLXdrpANhnxGQU5c+cfw1G9i/yxqeaPt9TbkBsgkeI8Vfl+mdYG
pv6a+mpdG+1wZQwJnQGY/Ls+xOsahWbJY5sFgP2WUGwYmkCsLdeqXnnboIxPNfk33wcKQCnxM8hA
niSY/C1dscmygkM/9BHJoBS7lLxdV4ET/kbqDDDuPPsxJL9Qo1e/uFKO2xiPxkttivJsIbu6m3wX
i0qQD6yiwu9+Ona0Nqa8+A0O7i/SG93XwBgQ3Efk/cYM0zxCFdXYc+zJHlLh92vVmda30e2Piln5
b5NPJzkG9TeANiHQBfZDLttVrPrpybRFug/dOjvVvM3uXD+ONlbQq29A0u/HKsv/Mcf4q8zT8Uuv
hhG7T0tcAku6F9zZ5Zb3vHzlEuFA7ep00zHhfnyum8RbV1EqQYHttefEt6anrrWewNPhfYNGM9Sc
Qre7QD+segRN2w+y48sgKtPX6ipAW/fQtDGA1Im/MQIU14EAM7oZhUiutRVjs+84/Y/G27I0ET8B
roFMlnawWzbuUUMZb1M7E/cofhH3ZYgCLwQcKsTrveLegvaav6oKfOIpvyMTargMZKZV4MSrwSgP
kdGlO6VBH/hXGw+2nycrhI3VydHvvbkjRLXAFJb31IpZWF4LO74ug/ISb/0xTkDi+TGRQMJ4g5sp
3RkEEcGC+n1i8uGx1a4Kv/lJZG+T5uOsMjmeu2IlPE35NhO/zUfyocOndjVE07kF1lVa/gkSNiuP
gcWjzJ3bjFmYII2B4EC6I4xDJOz2igKNL9RJJhZbV9vp3/1bINyRJou8s9H43proKNyy+VomrvVo
I2h2+Yu9r8Vne2p3X728ffevAQBaE3sFfjdfgzC1H4cI1VRzJEuEffvO74okyIUzcIMSJoFK1Qrw
L3RNB+6J0L3HH6Z86SHJdOhQwr3rRsf6OuHBG0ke/8ArDPQpbWZcRulNd1Cp9kGUgYJkPRI53fJl
0CPbEoGhiFXzSHLwQhSB0UgHiIo7mUJ0nP87kq5pckAUaaQX++bXFuAjcsBKD7UX0baIGvcRCPF0
h39GcFFZAr5hiFcfnNapkBeIHaiFSxN61A7oVR07+wnpot1Y8SlCTWK8BUeX9TN1UVkIxGz6xZtM
tQlsZd+VKjL2/dR3J1Z34wV5doiP87J+rPGYR3leL96wjHgOM4B7V/HjJBswhlW80qoi7ltrmGL9
t882See/PltUmZ8+W2IYENnVtV9UuhUPbbFunbg7zcVZugnUfHeisq/WNh5RR9IeK5VlaoXIKijk
KFznN7zeOgkYA2YjQ9p26w+xsUIaW2DX2vHdADGzdTyE+KuTsS0TvKMj7zJpFa9BH4Q0+a6NIHbO
q2HvDFycDEBCrorJ4UpndJBpCYaykLHN0lHX4Y+kNcNV0fBh56SRc/R5FT/6oy5pG0H1C+TJBSWe
1St5jK5jI7/pvKD6R62hxx6dBjxKnCWt/ynGP5+S0wQnSgHwNPF2aoix7Qcb3Yjgrsd91KCE+bbW
sOLWabuV1QEZ2AMW9Mw8QKTdbPpKbqEJmlOvqhCB67HXSJKuu3XarY9Qy6eH/81twJ2/F4AiQsaK
y5emKPYo5UZeD3fezvbiaV/opsqrdQrdkNdM1OYpsxlkx43JfDO94Z8xDfx7JJqHO7Bpo2Jd+ztW
wNat5Mhc6WkLKfbkP6b8fdoScePDVKCyHdTaYNjd+cCMrZFdTI60taVmZabpcd746l5UbCSfmohl
Jse0NpGJrlFd6hNwNUq8fmVZvbcNRGBePEK74iXRsx3KM+7frwh1mnPUIU6TT3Z3QZEJ6CUKEFVf
INAZ2ruoQlF5yQe1o346GDz5nrLK3g/ClqhhwSERUX8t27pEKX/ugUHGZ8OKjEnZvvs4TMp11bbI
/mpv6pA8GsB/CaWFrELyFlrr8ipVCDAh9KXWXQmJRpUBzY/UPU6x8up2YHzrVj5Ck8OKjI3uoTMf
SJljWfO7xV5ZNqg/5l7pbKwKQMMBKwMPr/FzSzcabqH42mUu7jk6jf2nyslTKJwhbk4H5KhyhZDu
v+0O/EICvP5k+TSS2lOWWNAsX9NcyxgICSEUrw92wZ2tO+Qsv4EerNuZ4AK/VVboXE35Ymm4Fx3I
TGdTrJw1S0exTbBS4diDhP5lioo1uWRkGwPRQL8ndrfLDE1ivmB3EoOmz5diZUCV7BToA51FmdcJ
MCkwGLGfC7Zk7abGBXxXe3nchdJ5Ox7Ih0yuV/47mqZc2uRDzbIsPHe99DCLlxuLQVCyUUgYKZG8
H1JEIxvUy6OdD34NwqHon9mWUw+5ew0vd31h/KYI5KcgZZYkUPmJQZ7eAc1+wd7xczTzj+AmDfa9
6MVIjC9AQTtX2wA/oHLiEUrxY3qtx1yAe0kaDyhCs9d1F9uI8eTRCoyR4tcQZVuAFAWwHwmEa7ww
/kem9Y8yYt3XZkTe3mCx+YgFjw/uydbE/7HMjnhp9WDBaVDNz7Mtw8sV94Mn8LdI1XiZTw1HGier
wZpKZDUqiXQPHZgCMmsELd6A3WCX2CjaAx3GG4CXDxDrbJ78qQouKBZs1mQ3JMgXyyau77LQme4D
b8D6RQ+IwRWAjFHpnV3UFz/7JeR0lSleonJqVgMY+S50GJVRXEx9WGzUlEq2ay+3d+UEQLgS7bVl
UfkSAAX72Prh2rSbGLiWTcNE/uINXfmCyCvgjZV8JMeozG9ASfl31GrS5tcg6nGeBHp1oFXNY9yH
es5Sb2jxIFJHauaTN22ABXL31Oz8CulBBLh31ByTsMVurPE3jr4ouEKTI7Ibzpp6kYk3TnUJegvq
9VmfXLsOK1TqNQe7uUPI4IE6sXRNVpU3mofCMJwJbMtZg4KM5tRhcYBQUpGFV/y2wiudGar6Cr5s
dbCt0ptWdh32CMCPYIK3CmwMCygz6zM6RFAFOIUJDkvzb37LMBpBLjRsaf6/T7Vc8o+p/vgEyzX+
8KMO3ip57K2nMIbIsgGVkHJFp8sBxB/epnSqYQWhhPy8dPAElPR1Wfw7hNpLt69nXJp09ucF8g4Z
SYuD5fD/Pk1cf3wwugp9ktm4XJWMrKndcsVc62GSCfZu+kMsQ6g5u9ApDamq9BXKm/XRcJLyvoM0
pIdU0EVoxk46VKMHFIgRVuvRdt5tis7SbGdA1Og66jsA2GjZ7hqZoVbiYyyNKFOg5QZuXxf7ZKJ2
e8rxJKKrLh0j6HUUU9lN+DFW5jLu2TarkmA9X/FjYkSpULgNDm9F186lwC65ttLNPBUNjuVbzlV8
N0+VS6vaxolRzy6BEdwckBDtwTAhT0ya8jSf8bx/P/uLjVwG3+U5bmyMo4P4OFtsTE+zzEodi60G
S+g6dXHHg94teKx6Dm6qGEzq1Ay9LHiUNiS0VWbfxdqjhrzaIe68fk2dtesHjyXiLUWtzOs8SEko
BaKIB5EvQESFbMWd7zg30KTUv6rJuxnMrH65kt9ijhMBix+m7YUnObiZAjM88mZ4IUA6wdAjjUVH
JGC2LybyIHtRT3eoMl+ZIzYEuZfeg0DPfUiTlN/wQNpSiw7GBDbn3Ol+9WOUIdPXAZFXBXW79lkI
FgNeROcmd/V+vmZv3cdZllrvNjrrc5e9xfGYr8yy4G9zb7Q3reApkzJ78DwvewDvNbu03XQmE8Qh
socOQPy7EM8yqOYN0Zrc+v4hBhnTPXnRoWvaQ+aU6kqtIUmzh0aUryUXYNLQM5NpaMFZwQw7Oi62
vnSatZ+a2Z5cqCOXBYouShTxkI3mjGvIiUadm22Wq0ZcOvtsAAP1Ml/k5PaRWwPwWpaPD5yWk392
WfdAw+grARdRQ+a0+jS7VYOGN50/wvIVMuwoFdi/botJhM39EPD4snwyycNkZYEmETWp+IORb8ua
cGUYjH/6VrUdAkZqg66KXOgQTOAAaa3Wmr8VTcr7AKJ7RSHXy2XNTvgHowZuffmmfdMbJ9NXX5c/
HAKk4P2X+XH5dIPwgrsyeqO55v9hMFQ66jrezc2pck9g2FC6mEYduQ2RBKMshu9p2z3beZE9p5Bs
PHHTBEJX26Fn5xhld5uwDgf40293HaiMjn5RuS8SRHfkZDLbWnfMbK6J4xkbwyuLlYQA31M/WF9U
N4qr0i1WBdMOWBEwJ9eB9dSwobn3QXrV+Zn1RKbeArVXVETJmWxDH1WHIinN9TzAs6OnwdqFUlpg
4gRED+vqPj3S5ODEzU6IilgratKAAD8Wg1nDA5n6CaHEfOibPU2OapPikjriH+qkj2sk1hkp3Ohu
vnrnKKDNEralyXyeqZvpVjfyp0OQpt/LjFsXag1YHu5DbvegE8EXmowhegBSZUOdZCohkblym3A4
UTObKufAEwTryIU+gkJlnDk9kcHg0HgJ6sk80AcArYd5iuSArST2VCp5NROnf5hcLu+rSf0KVRB8
hbT7uIUi4HiIBjRjaWxAugWMZhoEl6opoMCHCuqv4Cl0QYlbdOeqTwBdsx9mcw8FPlnX4AtBjGb9
vuMGhdphxukt2PwMqY9zL6rVJ6Cek7YQE7ecRwMfu4rCV8pfR6b4IVtZPldIsh1kC4kfRGmDZ+1A
qW2sAX+47TcDQc4fqQcAZKbc35mT33X5aL/JtBuhB2qLB+Yk/d6v7eEU1ixDnCIzwRroDs/ZCGVc
AYHOn3o4NErd3wmG8wLBYPxEw13o5Php5CZKEnQdeeIbYLawMhSf5fHwBRoV4HKGfXFTuvo8DzjS
iAiozW4MtffkhuqI99lG7bbMlqQ/QyI6gOTxCJpvlHcYq2L8VfAY6NLAfoXscA1QolUc2qHLvtS9
e+GVFf9APU++rgCPvklum9fSGpFac8bkx8dIlUOMgkaWLAJs23HMjZGmSBBFIv9CZyJi2Xym/mL7
m19kWiaem1X+Kc9mMGc8gxns8CmrN+fYvPHJ8CZ2pPTa3MuRJdt6Ro0yk48cHTnTLHndHsg+pPlK
TEjs3qq+qvYM9AOvdlHNfFYs961t5vjNESgkiPPm5cxnhbU07GkHAm07ML5ofx9xMlSpAabgkYC4
XSl7q7Hz65gF4MGu4+x/aKt1KldhIsNzkEF2BFCZrLwVk4eEi6U21IE8YXlLoCHobNJp2ABDFZ4X
t3D04t0Y5Xw9uKjmVABqnGXR98+xssUWLGXDbm5OIGJzWYOPZPP+WSprAoFrfqFOOigOwjAUdT1Q
i2YbMut9NtdS77NFjhHteik6RLx8O1sRZxbkhy7Kt5obtVozbw9pUDRratIBQV4Qc0btza0DADa1
RwsCsbWrpUTI9pc5Zg894D/n+NtVnBrar1UP7sl4dKsnI7POxM0QQp30kKHWajvomwIafYmORau7
GqLdT66azibEX7d4OPJz3EbxuvMn99JmpfPFBF36TFsnRXkCC2W1iYCa+0puYV67F8uM9r5d9iiq
Zz/ojmlbCFfUiFk8dKbZnbuo9zdmlCU/ZHEtayf41megXZ26KTmZRS6e9EDqb7ISGjo24EJOkrFj
lmMe1trsV4SATxx36geypWrdu0F8n/mWBTHXCSyjTjlBRDl79/WgyCIhxyg2FpKnPRh6wf3hmpuB
zhxsVZWQPsIFOJt79ZkTf/e6ASruPsqE9AGkmDLatwD07r3ORVJW4knUYRkBfn8+7QM8Zx5qjtS6
5kub/xlxN25ahqAr/S/zuE8foCynNbjuvcD0vuXg2oWYovpmT4O5llmqoKUXqUPHeuNgItN5p1AS
vkZebnqrh+FCHNqBAHtnUqpvZp1DDhL1F4ZKi2eB0nuUbuMsairIhuKR/Gyk8t229NKZMM12q0QD
ZiAXD0qUaBQn+sghy/MLq5vv8yfWX4VVIPsijyKWBygWpC9BUV3K0gieUxA+nfBE0XehGr9pe27i
bWHHsXtiHFQp/2mfkMhYlVZbH/D4G65Y8A/XyWMK+tBuuc/sKlnV5gARAurhcTKtutqL96UaoWtm
QAfBD3RQSzcXG8/y8QBsW/PQ60MLYn1kL2CjJnUstrLl7a4O7X5NKDfCu2EP/MBdFh4J37bYDZ5O
exPY4VVONK2LslXgNA/IrbVbIfH0iAzLvhOZZ2wTfRax8f2MbH/rBbAU9DnASu5T/HpOPlIHu3bi
1UvTiF8Oooy/krrdIRCnvllFmG2Anxpv0vcR2bPKdidyzta2mIxV6BfWxSdGBAoUU9tDRA7rnOhE
JjpwHUWmM6QpoOVaTRCiBXh1l3KJamVdcEcgLrKBAAD6Nw67IpBT3gL9+BXSfrOhLHdIXQ+P5MoY
sqNrGnhL1Bk00Ps2ciGmY6W/QtwVvs2871UQpxvL84pbkJn+OZ7KdjtIIVHrjXpxqHn+ctvi91j2
3bMfJ90+DMviGBUelNL0ZOQxOVBcT1rvO0L76Sbkk9hw0x8PoBAkjDodAiHqbcg9e0tNheK9R/bu
4DrenhUF4OJj9zSJEKX9WVIckdNAgSEUHh6gDPJuq/nVCNOjiNn2b5oVoYNXre6cdCqei9jcALKo
jCdE1/BXUElUbaj2P0Pq6oBcr41XGFSeQKTYPMQIxsw2alIH0O3dwVkbHAQIvdvbLygD70+uXWlu
ah/hwwbSEEuTgUARf1fnmjoRENI+C9aZZhiHVOsX1jbRE/e6/NKPWbgmRm/2r12WTn4pHS3PhAj8
Fly+OUQJqxVuW+sH+DYkMP92fs8lG8H1gn9E7iX9k+k3IBzSj9oxfvftYzAaO7aMH2ML5NUyRCIL
e8Ppm2tCmWeQ4yvkYt7tBMQAR+ZsJ/9JpOE2MibUGHRddnBVEu+Q5EBez5/wXESuHOw2KArJ8vxg
ZUX3lTziLnH3KcT5VlhsFeuZer4zzGH/1zYRzyNfhioZzw8ONgM1XMxaqJ/Rn1Q2n5vUi4i/OtLf
v07Uf/X+MXZx7vVUtW/I/RRNJzUi6Qop9Po8IAKwE43lPAlAwiBzLKZfZXhXDSr8x5nq347n+y8y
t7CzjIbwAhR4M4+RRWVsxYhKJbrfzNFt9qkRl4g96TWQ1AsepQ95MDlr0/y+1EwvddUVyCSORQ1x
HxeV14oVLQSKR/leib34QZMBa/O+eHHN1sTvVDXgpimcXe4BXJxkdXVFEbzYAvZUf2m49ZNKGw32
E4+t7NcyxkymeGOE3ptk+GdS1RoQxvVuaQbtUO8gjxzvch5FF29E6ZU3vBL6vSx7SNPF4XjzXV9d
bImNTFKH1vc2mx2c4ckcrBWyBTUQIrglSqwwERZ2qwvJ0BS66ekm9To9ajupF3tF+4V6/zY2YzEy
F4UAgaohblgmYF0JAVq7HvxzLU0sNbVdNQyEAWP3Vku/dH7LjPuP0KPdgOE2Kh7iSBcwyOQCpm7P
/SlQQ7wBrYZ7Z1RQ/RsNnr1EedlsoSQ1XVHylZ9YlbH9VJXOvZNW3rr3WPzW2+KxyEv3Nwr7gW8M
5K+4/nc4jyXgG31mg8gf7wrwIwQIxQTFxev6EOiB4Qvd/mS3XcH2vGpm9aFgtIt71HafhYAw0iJI
VFRxt/dkDDLcCYJES8f/Ye68diQ3ti79KoKuh+enCbrBrwNM+mSWr2pTfUNUG9F7z6efj5EtZXVJ
6jODuZlGIxCOkZmsYDBi773W0kqB4IdyB4MNTFQlUfsYV1aVGQ0nWWyn4ntRQg95O7xunX4sytZY
BR72j9cWMzE6VZ5toLa9Mhs7P7rLBotoRBTZnCoLr2VZJksXv5jzY5zY0ZXG5lPyGcTd8M03i/DO
GkbxoM7JjSRDMPLB2BM2Gu9krymbv4HSC+7Y2557yWp9Mug1pvRadq5/jgV/xblX3pTWrnMaY4uF
kgDhsVY/RAbccDzX/n0eNvBxs/hfg5HBB+X3IUaXwbieCRVHHLExHtqiadeFlo8fY9d46V07+aZX
LZcvfigzrTgqqclXy0VodQxMFUG2gGc6aOBGGSbcJL0WXfua8pIqvjhvKPtEy66KOHyR2zR5QHBA
ua4co088uVlzBXMQMHy5lWxekterG/30Wql5VSzMX7K+HTugHUu9GJz1pausR6Yz5cXgVisIe+c9
oJnsg428eK454efMBwZtw8V2E6fhcOMAoCbUoA0/x0gDmCrcG7od+fsfr0y0aL7LM+NDzs7mGgqm
/Jpdb37NCSQ+mKPy3jGi6GTE0S7Qs+oxTeP+zkpsAloGlEFHbC7r2lfVg2xVerO9CgLn07lVnayv
DeCPE5sjTi2WUJC8xEIm+8oE4rqdOeTKrSxFlWttfv3lv/7931/G/xl8K+4IIw2K/Je8y+6KKG+b
33611F9/Kc/Vx6+//Spcx3BMU8BhYbqwj1iWQ/uXlwec4PTW/kfYwjeGGpH+KJqieWz1DQIE2dc4
9wOwaUGF6dYVB8NdWBVA0j+0yQQMt+vsr7jOcZ/nX3plcz7HBkOYnECs7BO5wxpMsz8QamamN9Yc
ZntH8sohlypW4VRF+7PKYBK1P5TBEd+EBMJcthlxYsYbvDEZAiEwE8kkSPzXdbJzlaUblTnuIU9M
9OySmHk2XhtLMsZtvStY9GBk+qM1rbuPkOlnB7NX2bGbmVUTj+T05y7yWtlZDoCagrr6+a0X+l9v
vWUJi5llmvigLfHjrYcer1CGxrYe2yGaDjiBA6KmtHmbCaV6rhOcJst2YpjBQVeOqO9kDwvME1Bt
lTCxv+9V577iZaHzapxBXWg2jLFDrFjxTLMJn9Oo1jexkQzXNpKYp6qEJ2PCN/V+hvSZ22t9XbrC
P02M99JV9VEaCdLpSj5mWj3ddmFseELorLlAGuz/MC9d4+3NESpWX+6OIDTEMi3zx5szOEnlEDqf
P5436VZpgssvxHs8FMU9irL9PVD9d3I5jJpc2cklTxaXXoRr5fdTiVaxHrov2IC7rWVmOaxpLExh
3iDWYJrtR72rr+1lj8hL8SGP1eKDqZRIBpUDXadCnBr7LlSK+o5A+x0Oe/OxWNj0K7htoTtI/JOs
gzIs2bcl/I+yVV5QR+POXHj5sZqhWltHAtyeka0xTsXH2c5h7fdzII+jD2eGMST1uvFBEYbtI9r1
5uObvkK7ayz96KDc8WZrLxXm9M50vaVRys/NfQA6acDowfZXvdJE9K0e3OypXRIshWVtxhCAUcgi
q1/1QA+9zC3zJ73T6p2izcVWtsqrhyE9X11A3nt7tjeKUle3umiTV+TyfWsvq7LW7mRDpavhf5gR
wv1hRpiq6mj8N1HMtoEh28byOL1aqVhZ9AkqmeDR5BWFfJw63gwa9MoSZxhV7zW30V/kJkwo/XgV
mP54o4QuWzSlRgoyTq6lBOxZJVaKx57lYWW2dsuyXLWL2ltEECDaO1WMuExSneRFskEW/7HuPFig
Jv6+aRyibCbDSQ/2MGsnVTjaSebEmBjVKo8moq1wFKkH4cTHS/Nf+pwrRN3t/8Pa8+Oyv9xMCKAs
oVqOq0NE51o/3swkrFUtzVT/wR6bCVds5q408At3eqS4BH1n2rZP3fy5UM2t3OvKHnUdgtIbxADD
LcSzuBFLB+xxXx4a/AzLOlsvq+urBJDRdd8h3kYHWY3GB0YnLcScFsz5uk406F11NbvX3CRaSWOL
bFAz5XsD3pkIKwG07oro8nVclnDZ+G56bxHn8vO74tp/mWKGsFXT1nQod1VhvLkr7KhEkLep9aAi
l3ttLIIZUJskhLAtKreSEzWw4ngzlveRNaebV9TLBYIGki5Z1sGfBzDWgUpeUiv79kQc3Gi1m6aO
Fbi4s2YtQwELE3oOpJCDk7lEDMbB3u5K+8OlV2MRnWarSDcOi2mo9GNIMSIlOMhit9QNDgilcDL+
Uif7lYup6dx56SfrpsZhqy2U53qh917ZwSweWYbRFdGDGKYuqzrKlqhCY8uvkeGSra96u6JpEMgV
7lXY6csUmD4xncpdrDfzITcJVFnq1WK0WCMwKsKawokfwn6HYHzTWfWNOz7qC4CkBIiM65aT0lJa
2oYJBaW0xSyHRFgY5NA7D5p/RNy7vOnaCJr5ufVPTmZ/TPOufZBVBa+uTYoPYyeLskFLgVCp2svP
54hu/uXRcdHbcDXEBVxTcApf2l+tQ5Or8rqbjOohDLXF6px/iJs6+pwPBB36o6Xe4fmJCM8jABh+
vfBzCSMG/n3/ucSttEM3FZYM24qefrzSrXuVA8x05WZKBMYVLhZriGtsUtDVyqITzduw7ObHPrRh
FQnyXQQT6IeyUIpraGIJNV2KnDDag2MvLDdLMashH60cczzIIkCj70PKIlLI24hQs61jMMslIijy
9WYbzVb7CnoNWpydUV2fgUMYquZjKoC6naHXZgaRBEpg2hl6jdpccesb5ivodRmMzbYbsu78EfJz
JoA5xH3rif2s63Z3b+lucJv04F9HQDzPRqejFK6q2RURCvaTFlRHPyy1Z1hF2h1rqr+X3eIY/vMS
X9fQOsQ79ZwgZL0l2pfLsEYwYwFeLpfDll0RYIovr5pOzMSNIt04VX34BOe6ID4Ha11tN8epwSMA
rMBew34RfWX7lK+yufLfJf2sb3xlTG9zYkMPXdHrRzmS2eIBvIw0qFnw4JYj4GR0snp/XOuIxmGc
BpvsLImsN+t22jam0a01a/5eJxtkv5GrDFU1zmM40R4Rq+bWCbCg5KLLPkEA70llyDZuT+Y4u88E
MVrr2J5C8BPIp9ptrR3GCIO9phsG38DJPjlR4zV+/g4wQ3KrshzeTxyM0LxA4Nos+if8XAFydkHx
VGRzg0xA2e9l0arS7tj0BI7LIiLMxl3TqLu4M4p7LOzaplBT+0GvivRWrey9No32g6waI7/d+Lo/
74ylThdVg3LHubs/pPmNXuZHaaxFNAh2w9Q6SoNRKD1kS1072sRG9yqAcDZLDtRtz0qu3Ue1iVGv
aI6GX1e/93ryYsSzA+a18dcc08VdpRnNXqSNQjzQDF0DKM5dGXXFw9+NkybHMSurPQaLflv1SOLl
UflQLmgUwiBRSV6AKLlSINrYpDmPFHUyMREOkH2tmVXKiSp88uP00SmKzTwV07s4AaDhVJaGr4UT
O7tbAUCj4EW6kBuaabkBWDR6Q93WeOCGfkium7io1o2muvfwk4Z7wykjFGeK6SrRsc4Tkmg/WjqO
AqsInc9gqrZpFojfg8499S0eGXk54QDuvQjCaE9A07z7+UpovH1bsmsQqqHyYrA0TWNN+XEhxAxV
tfqo9AjGa5hYBx/3koQMQDd154addoAqDIuIrOvRjgrb/mlurQrBG1jyLbvU7uM+Zz8wVNmXgllJ
cJn4cOlBDH+Ao9qPDvZCsSJ5VjpIVjn/9O5Wkqp0AeRHMoeEI8K466BpsvM+wiD6eN2JKbnpwla/
kw0qHpC7n98G7e2+dLkNpsq+YflnWfKE/ep9YI8jcd6O2t18j2m33QVJyiOvonwMiRdmAEOf4cu8
PPRpYGzEaFRvFwN5RZkS5C+f/rCEzw5PWbz++VcW2pt9jq05muPwl3NYPMRfTp4gTTWEBqP45ryh
n327hgk9iD5hE04XozxsO8m+cn11/0e1fMfXGqFUf60O4G08V6tGF31CauPSu4lbe2NGVQ5H01aa
OTPbjd7pJlwuRbqdwgbiYFwemzzRwgclqL7nEEIQm6ED5pEHmthMS+7SL0ci7z8cx+X54WIJMXmn
cwwWHCwMyxUq5R+n8zDNY1TPZnKYfKBe5tpAlKWfkdq22WhiQLIfhnlAUHcBnAxdckfQW/3+0sNX
xIx/SB9XQ+Cj2qgDZYjGESmnEILplHcOKNAifDTVrPKGpVUWZRLgCJ6sMbgKhYpW1Z/X54OZgBPW
tM/qcPr5HNAX68KPP5eH17FhCRG6bYPJ+vHnArXIJjxZweGM4TLK9dkig23fvdaDHMclHCr1kiRz
0MADTn0/5WDaIKheJRYsjkHXQ8yn2pitA93YT3A5h5wXgO6+Kl/aJSbMqc+z+b9+sGE10qb1pSin
OgrC9k3x3/tvxc1L9q357+WqP3v9eM2/eV3x/6ddrqMvNS/839u3vX4Yl0///u02L+3LD4Vtzg50
uu++1dPDt6ZL2z9scUvP/9PGX77JUUAyfvvt15evWZQTtY6N4Ev76/emxXanG4SXvfqjL5/wvXm5
F7/9evOtf/nK9vY82qtLvr007W+/4m0W/1KZ7dj9BN5hVDR//WX4dm7S2dXCW9mG2Aj1f3FcXB6K
ZbOr2g6rCUC5pckwaTLRyFGZRLqDFevXP37vd9vj+Q/197ZIzRRvXyngMZiKuu4ahotYifnmlRK2
YuzzujSuQ5iR4h6gqF0b4CJdXrlB2KXrSEEdLs7UVRm+LMKb6zYJzau6gpph1ut3fsFC05vBuLMU
f5+3OihgCCSUuti1OPfWbY1tsdBr8NXa+KKF/S70oVvseKusByLuZ7UpkBycD0Qk5zskud6BSZq2
buwjG6Dld34D5S0YzToJGh4Ga6UXyBXPdUlUL/RrYqXOHhg751DH7SN6xNUVfChPDkKR+6rz2x0g
0mCtDr0NzrU/qvgBPQ12rZ3Wjc17lDCf2Ai+r1MMUbDM74x8vHEdvzm63YBcfD8gharEheeI6ja0
dX9FcDdYs0D7QpRFsPV9GLogqdBOvi68VMUqrCATZmvhAkXsnFNnVdlKjdN7CHohdYNtNdfVD52N
E12bTy68FewZy+eiaO4i2LXmEs2noa+0lZ4PnhPq8SqqA5zg6nyfDM8mgUxAmawGwd6BIKVZe3AD
lHvlFVaAawAf77zWnRxtKbNzIfJPQf81MZ8NP9a6jntCppM7E5P/vi0yRO132hDtkdMG8lEJbnb5
O6GXXg253Jo1oeT0mu9mZL+A2321lDJaLzCQNDSsE7Kb/k1UrC1k3KbGvB3UNtvm4KKrFhGFfBo3
wh1+x4v9DMtsdUD8cxvEkb1x82ETdSNqJXEUbmocAwBl0uYIg9nOTGD9MfM6X9t2Mq/YGq+Jv4LU
TiBMWqitvRItdsdkq7cOSjMdvLgRSO6VgVIacSNozkAve1fWbOZ4acRbB6pU4JHqCu+asU0DFy9a
7/l3QYwrJk36erPcm2KOlad2UWPUUJCDp3eXDqDobGfq9hj7k3IDpVh6V1bqCQcSaNtHAraCQ9AU
2Rr8uoncOVBryGAikewbFX4pAgOtVeqEg+eXSKaKBupetI24Pf5pVlF1xkYAPzMxC30PhNhoCBAF
cnoyjGqD8JzxISmdXRTYBzbbyWnUqhV0SwYetziD9FvMG03kkNhEwTvXGnoiSA2mbauWGz9Tb3Rw
p/sQgtWtr439dc1fcQBMug8jvcYyl4wwKBjpQTXSozWY+HJxiNzxrQ+OtSgSDQjswAVHRFqSfygi
guLZU+fgWJ8MwDv4NvPHNMjfqarSb4o+NQ9uNDabeTyN4J9PtaaUxylE2n6IfGc9acP83orgvDaD
WnkB3nCtDc0As5HbbEuNNcTx+4OmKMdEGOpNHXXDHrVge+dE2QfdzhasuFNsyoKQI9tGqSL1Q+PG
yRze23p2WJarvFpnRr0Ngll5VlPtulWd7htqEsUVPBJXs1NADBKnSDxrfnhqQDAB3AiLjaq0xXWk
IOEW+hDxm6V/Cqpo3A5jQ/x5k1Se77RQmGCi3xDom976btIcLNxVx6gU6TWxW4B2895ZB5DTb8xW
6bdm0+ibsC+6bWWFnFihwNtiGIUGD06/fd27/ibOhgCKXP89hGvxUwetYlE51rrXI7EGsuXwblf2
TdDMd/xOsNrcCX1CYawHPFXAcxemkErLJI3j69z0j40teNz4kxMHjUjk0La3rjF+a4CcPSYBVvAs
brdBORGBmI8bbPClV6nWpwn4zd4JshNrfwH6wq+BAbrKRsuzBk1sErwwjdeFDTuwS1nmcsPqUyyE
3R/tkJbW3C/Ksv1SPPeUlXbtMpJsepWVTaNpTTtM2XdyCNlF1r8ZsTOSwjMS/Z3zojtR6XXQsHrE
PhPpEUIQ8D2LHEbhybLMyU4yuVwDQo+IVdnsNAALV5emyzWXOnm1bEDMQ6z8zvTXk512M4H1f37s
22+AEYWBZYfzx8lRXmXPX1x+yjlruPGJxx2yjeXHvB1aluUYbz/pVfnN75TXjLVfrEG41evLuJd+
Td0/TiaWrVf3UV52/oGy4+WjL/fkbXfZ8dWvk9f87Tc7X/lqeDmoHYBTefUNy7In7KNJC+RjFe60
HF8mwqoaFejCj3f+zRctXXEsoXvYswQ+B2avny849xqFtYLob5W1BmFySZtjV9N9E6rnXFsXQSDW
RJd1Oyho7rGJF549+YUXl2kDb0Hu8FeVtZemttZTgp7x6Sy9L/UyZy4XyxEuredRmqBmrFcj+tjo
oc1CcKPCCzKohErFtRdBS5quZBaJmOp7eYoUZn2+cH5cKols7Y9J8eF8iWyQ1/nhBEuLCkcNIsKs
A4pVeUHmFhrRQzNLfwjVnOOeqkTlFNWklSdztXBKz+iMJfoqjTd65iXFfBO5/ri/PKKlXApK/UZv
dZ0nsjjV7szrKuFvxh44PzoEoaDs+M1uvrGSi1WeT59SpfQTmFWM3JuXhIi+74nVBcXfFi/95GX8
NRDY7fN1adtEmI7wHQI0P4oyX0Xq+DkP3XpXQ1OVrlxY5glXG579zHosAI1uImLfkJlj7bBgmvVa
dLw9WazGdg20CA2tYW+wxfGctLM81VUsz7XjZu1DqwumIhg8mTRLzimSAInhrA8OooDjZ+p6OmMj
VJecLJbtrO17pzgqI5AKmQwFmP5g4m1e9JpSrHgD56cmhTWQrZuzEamTezKxZ2OlD7596Kc598Y/
ky5Sfi81c9iWBXxBsCsZ0d4arbt6aKLTZMz6elLgikcue4NGADSwAKgI7s+PQrhY9XIFdhto3JMN
rITaqjXielPpmuHZdkN0bqDUwD5iBHUMvYKflSg6ddCgNeurZ620rmt2JLzOuG/x+JBpYjqGJVR7
W4M4BJTUWn89wPNyVI2tOc2a5yqh5mniZEPFxt7YYevHIduLA51kyQ2ASmvDKA7hUhr1Plzhby8I
PGROZUFHhIGqfM+5VsgmqzCvsTz3nvwbMLOr9oAjMV2zAZhQG+P+20uCjVo7VukDYbOFp9p96dlK
n/DqQtdTrZqBUFq+w4R+iZfY5kKis2RlmWA2tgZs8zqlyj19+YuYFbbcg+bW8zqKsJO1vGM9NxsR
tPozgaLFmdZGJm4GjKU7Ir1c7vwyv80Jd8Ja1af+EIfuWixz7zIBZe5N3QT0axNCVLNyltXQtYuY
PeOuYReIUaQXpQcEoeT082cZruxoy/kMJZZoWVys5Xeff87yQ1N5x5fELdF5zODo2cg5JX+enHDZ
PPFonv8Oy2xzEGcFInlUicr15A+WuUsi69pEAZjhGB/9BRMdLkhozo/wjbS6k6ycPyvHusT93TYY
a5fZI6eQzF0SeQ9kkbcJ29VYHEyXl72xJEHFqi+TS3FK1echQD8nn9Q7QinNmTAaVq5z1hCju+od
KAqmqKs8vVaY0HJWL8mbYtGIXWYE/r6FCJfFbHidoMXEdmepC3Sn2jMtCAAw0JxNBv1bC+xzmxt+
C68ySRg2wBF9/l4NVCoHIfJ90MCaDA5oi3J57sn71y/zR+Zk3aXYprnX6LV29E1h7TvT2vUJjPXK
bOjIc9n1yepgphrLGMm0Qa9SiPe1BpUpcZQ/SPBIQ0rYbAYVlqAccqhspQV6utEVQolSrR49XRG7
WCz81Pqt46PbDmzD8qJJ6Kt50jv4a0F3j0Z8FUTx0zC00RbZn3Sr1aJeyS/bJbhE1v6yoBNifJC/
4vwUKOqmzxHJTeemReI5CE6dDWdwMCkHOTtaI0t2Y5g+JQ5L//kvveQuk8GujNgTjzlyhkRyBcAu
lrORSF8AMxieW+fmyV4ShcOgUhEUAQs5AH75VnOHyMOYCzWN61lsrQ+RGiJ9173vSlfZBXUabKrU
ILyH0ORspWvmVdSlI9TsQ3xqRd7t7aa8rxIFRA2yRzznqQLKQywC1l23qVVcowrhtStImfJtM+vJ
IQQXo5W4Q2JEi7p8IHJuWSyAthaolalKspJlzS9MqJV41bpW53t5rvZroTnV2nXYNqvLXntcdtE2
TqNt2invCXDDWNDfpJnot3bj3jlxzbNU108DbHgce9fn0aGZWs5qvrORnzPMhUE0+FWWExFnA37J
YJ/UCJ+GR6TYICcQEM/Oe74Z6tILtULZRa12VWqqOiNMRZ1snWN4HmoQo2HHWjPPwTvfT/1d3AZQ
3YvPs1AmT28C7YRUpB0x3Aioz4uq/p2pNISrZTi+MdXFK4K9m638YrkTN/suQbvDLW5x9w1bdbbZ
If+O0684hVX/UWtwjjpDu/WDQd/1DkG3I3GFwbJSyiRXEGheNeo3gafQc+p+jaLYo+NX0AJ7cdG2
XrokMtdNSev5rkawuOiso93f2s4Yb+MwJAqXtWSb12m7Onfg6T0m1ovd192uhexn1av+pm8j56D6
zXD+bSGw9LU6Ds6qspZFd0n6LCfByIKeJsvMNH8opvo9xljiIKNZQzhL4/aA2mtDC8N7guiVYUfT
dQz8FwCmvXZa3g7y7mTTsu6KSBerWSncdTYsDBMLm4TMOQTcJbyT/6h0lxalmU6ZooZ7Wa8vq6zM
XRLZzbpcK8ty1CRCNQj+xZPs/KqfzKq6BQWJZf1+vlbWZfFwjHIV1THzS6LiWS7StNogcxVsBLoU
m4YYJ1Qw5mt31pKHqfbnQzw8xLWrbA0911e1vZjQlGln+EaDU25cmZP7ORiy9zOytts5HZxNN/bW
qpx7hSlXWevRKj8EEChlIAgxWYgtOoYAwfNAX8FX52+CejwNWVp/8cdmXg2l+6nIoF4o0Dpd+X1l
E47VEe8qsEkqaoKzr5+Vh1kPv2hgwx1DfGoMYgzbYPBv7TCol/hZDXRqNL3YxBPMY2G9g9nBP2Bi
6nYQK/WfEuUk2wcjRWdGG1Kv92v/sdK6d9Y4jy8ibMJ1lPn2TRWUzU3eED+zmFxeQr14yHVfvSLG
G7KxJjKP7TyYW9lIQL02dslLA3hx181WeYwDO39Xh/ONHJW7xlSHKujaxTd1a2IXhluVj2sd5TmM
oT8cylr3TIEQcDaVHVT97OsLNcEd4oID00Z7l+dmd6gad34/lOFR/oipHZR10UTGVdlU2h2nHx4I
9ut3jgWSo5lyooDU2r+3Z1DT3RhOWNf4KTM2hdm1ko+ZUs97m0iJvZYihW36GByXbwXz9bgJY0s/
DXbq3JsyGF3eHfwMiFdExl0fTNpVbqBzJYecbHHoR1N/P+VxCwFR4ULm2g7PGUASOWRYOPG2bQzD
a0w7eez68ZOsV9MIkSSUz251wAjXBFEMa7F8lBYWN06qVu+wDBbHZqyzHTwewcuiXbr8gUXFdIrq
xjr2g9o9Ie30IAccSjMj0t5pb8KptG6KwgnPf0DTyd8RYgcQbEzSbQM1gKeZ8Xj+A6rNyQ1xAc+W
g0S8bvgHXbXNd7MOMm75NnNoa3C6M8U63/Jv5bSTP1xUKkJwhf4g1Ck6hU4CCmW5AGmSdavbxfuo
sNZapo67ifiFY2gX7j1BAxC6Tkb+Je+EJ2K4i0b4sXYclAMviOvxPhiV8dyjC/KjaSmIhEYi3omp
rrySBekeivXFMZ4VX6JR7OFmnT52EWqloVHN7N+wjmqFdXCJZD6Pg+NqNwKmfma3pW/hg3M8zUUi
aWodTJvLOGZUbONB6Z9TE0uYYpsZ+4ccRZ86QIxn6RFkBbjP3n9uXLuExiQbThwMtFvMxNla/p56
bNbEhrSfgknnz+3rvOidrLpV/bA+j2HZMFe0pvNpruCfxw0cX+UFdug0nPtzjw51F9SwmheHEI8N
oaDtVTZF6o25KC/KTxlZA9zYeUkLZ9zko2JcNVZY3kBRCnHj8kVdRGcaEFCyg1p2zYaYjoVSyMYd
V3f+uZc9rMp4sj/3nQVJrWU314nTzkxBaFeGvkm/APJbRusKLdyMYjAW0a7iOuWzNkk9aJ+xa56/
Dz7aNUra4Y2v1P4VeKpuUxki/ZwpoDMYQYNFYI2sTgu8Gn6pzgdI5s+p/tKLD7JDM43I4KmVuGm1
qbwCJAeRSNCqCGPx5+l7zNSo1X5lS44pcmjVBzsIS95tc3PI5rx/mB0FVgLNqr42qbtKrU68VEYG
6DtijIr5ecr5jts+hk5LaYOH82jAiUunMN/7KLkSzmQlJ1tTxA2TCQ6q0PFfHP5YsmtitAjfdFH1
YBaiPxSJnx6MojAfCnQqzl3yYlznGGdfhD3EmzKp6htdE8MpMYFU6GgrflDT6k6OxtPz1Kl1+x7T
SrJreSS8anbC26FwBTufvPlshPFKLL/Y4FC7slpLudemST+weVL2s2XEj3aASTpnl/81Y1aqbq98
ihXII4JNqjSE4tijAHPsjNso4/EShAnJ22PpzvueWLP3omkBKQWj5ulRXkMMrKhrBKSWndEH2XNG
sm61MFTej2hmHIapTbZtD3Crq7rHwYY4T3YDcU5MJ+5/JS6bTd+15vWgBtCRdKBtO98OP85dci1/
i1u6H9W+M97ZodLv5txpvYTwiFsN+bJ1hNnmi9ZfyxtUcZJbBfMMuBXKu2OE7NC+TQLzMepnzoTL
jYG+cUcARfbJV1mriVwlKl1XiitfaPnWjJr2o5ZpJ9kVS91LFOa8J7OhONl+mu01ZSzQnnede2vO
JoyvhvjSZUCX3FqBmcTwNwNwlqvc1MIbM06iDZvI9nPm3E9dZn4ZlZSXomsrt0am6l5ZiXDnw/f6
oR6mazlW2Kq/K4h7P+FfsPfN2I2HbubVjVpJwbuNMWCBPIyTr310zbnfzlY4nuI5D26zBiqR8xjL
l5LFLnCVG0dlMmnL0iQvW66X3YzAkw7f797nH3ysf3q93/rG/1/c3j940//Jyf7/oW9cc8VPXeP/
q47mIv/BN36+5A/XuOr+SwUVg8fbFuhaiFeucbzmjoa7XIYJu3DN/OkpN+zFU05MNe5wW7PsJb74
D0+59i9DJ+TGtQ1i2Ike/b9ylFuLo/919IbqOqZtaK7j6Cpu/L9EKmeQPjdjYg1X0IN026hqZ847
JCOII0+L9NkDko/8SRngkFNU/CEVp1JfXTwjMrck0Zx+yFsevqFFRW01DSHuSHfCUrjkwDhkTRZy
lMVEwBaOU+SSkwnBMt/r7Gzg1CArlSrp9q4eHkHAxzsgE09h0XMud5ezgMomov6o6vOVHrac3ZZD
9iXRkFlJVrKczeBHV73IPgh9trfdYpbAToIhx4bFZmVBCpyszMpCBFhT0MFbLDEyAaA2zmtIXClf
snrqfokSYlqDJuekLJv7fh6+94wzjM7rNImnTQwkdmXpEJme75gzpRUa6ME2dhYHk7yL52bC1U4N
BlB1NyxnLmlUb5cj2KWYpmEKDYkSxh4RB8lyEMznxFQJJiUbQD+IqWbJykRZTobOWAl17UOUu56L
HiWF5ZdfEs1afn6AwZJD2nL7zRlLvJYhLCIdCdK9YfdxiU6ldCOZgaXlrCsYqWSHS6+h1t+bg6Fs
Z8I82MtVD9KELl1sF2O6zEUdQIv1m2Y1Gn1ta2Dp2ymj9iQdYwlSAt8darKs98uNfNV0Gf3VmGeP
3NRWGOmnTNu8+fSzPf9SKcc4f5LMXvx7sk9W7suJuZYoie71ML2ccwqsmp5hphlg9SUrm2VSzekn
R6j+9lIlc9kygMyZMNoecrTS39RfLjAbjsFFuZcOlX/wpVycLdL3cva1yMq/Lb8aSmajCsnbxDSe
LpfI3Hmct0O88uH8JRu7Xw1enMe3n/BqJPDWFgwfOtwzF/fSq/affPlXF7zKXr70q0v/tl32fPvV
3vaMLCTyRGpgzSY27uIDvMzxf6x76149XxKlMGm/uebiMHzlGrx8Qok+HF4/6VQV9WjtdZa0yzWX
jm+GlQ3WfB9GpXmUbgBpBJc5LWcpuRTf1BXCx0ksLeh/ycqusknmZCIHkkNeiuw3WAFlOZPDyaw5
tIz880+XHWUiP8YU4ZPSDelOVukJNqiPMtvHYY+jsMHFpA723kixxVmL+Rt9RSx3cYc3T1bKxEl1
Ma/PTbKXrD1byu25ajBXxxDHtUhln2TTrKLy9iizqskB7vbVMLoVqBihtWSTJRC/otrAZ7eKIVb4
sWtkMZIIMY6JkAxXqSFdtcbPUS2e/bmEcRpvErqx+nqsu88JEoPruh05TKdfUY9dZ0UYbjOFqPep
zPX14EQnlEbLbTpikkAJr8s8ww6+GHPf73JeQasBqPOacHR7++pbnn/GhE7DCoak/83eeS1Hqmzr
+omIwJtbTFmZkm/phlA7vPc8/flIrb2qd++5jrk/oQgiSRIjCpLMMX6DXvz2SRN5NBFpF6v/se4r
yC2+w2K37csg9v3a4x9WnS4mgvfXof8vDsMce8D6zf5KNDniYyvO9FUU5xOHscV3X5zgP15JISdM
35dq/+fVdHO1q9XlsRZfsmuoXpSuOR0Rvv+7zXXzdb9rXd2YJkOR7W5cN/91WHVs+X6Kymub/7fT
iCu7nuV6GFHnpNl7kRFyhyeElu8WRFf/HU4XdWKVL/hFSeVlJ1qI+lGAW/4oik2p+K6Kff46olgt
RMZbbP5qKXZat9OK0tf26/rXMWMipItk5D5+SJlrVRLY+to4K/JHPEsFUjdQ9UnXMLpYoMAM0wyQ
bNJcjRHpLiOVg4qG7K8hpBWEP1Gkj+vv2Wiuvr04icf3uQ9MJq0kgjJnj5T9Tec41WEkNOfUJBqy
zP7QdAzn6uSUdR+mZB8VAjDHCbU9/KNUiKvW40I8jlgO3uBS1/xIV9DgaKblQQLgyozWS9TAs6xn
+5S1ueLmSfMsW5K+j6vuW55IP9KiwyJRGZygQk01mghqpDCKIuOtQ0Ro7ySOExiT5aEUsdeHyhty
eIljXo5M0OHjNPGPLMTWa5lMDCAkeDHhFMR6titqqEwjomO7kighkYELPoi/sxK1SmYcspua5g1T
BCK+E6C7Lss+l9wGRWhn5TlhRO7Dbj3loC4LLZvviqS+kZcORbem9xFDf4ITkh6NZufELXmTqnGC
Ar+YQO8Xso9T8giGVfJNSCPu51hWhR8POGYskqzsdMBxN8m0fqvy5NPqVy1Qpne5exqi+tLoxJKa
Q1XIRVBbWz+HJNXaaoMLEIvRZCJnvmGHiGiGqeFaKyoJD7qZHxpz4OlVW9XTELH30BH5gNBJDLuP
JLpFXEmXWHtQtZ9wBrRTEcbjS24Bosvi5bHo0SlOmnfMumd/sEnALA8obZ5StT6n9fy7LhQysg1K
pkbdDPwW8LqUHhJ0Hi+rG5ZxcoRyFjLUbW+R/CJ5TqeKGUK5g3roFQOIPbtQYbQ3zo9UqWJX7VQb
hP0W/WoiVCirhACl+j7GSCO22H0myeA1OqLddd3vFZgNemRYAdr2ecnY30jq3ZDwb5kokJJXeS+B
u96PQ70+DN/sJ3kexj3Jksk1OumXFB/CpgSYGcuvlbNW+zbE5CWKwSWu2kXLkc4od5FRW2SMauwS
kHjBH2fwxjpe4ckCKO1tjJPRHtvFG9i0EbDTDYDa2C0+gc3oY/9k+bDvg2mDq2pO/x5lpGw3IKu2
QVqL7H6UgbguG9jVUM5x5Y0bBLbWevNsR0DCnDwBcfGTMHO4m5x8Bz0TE/ENStuDqXXA1pZgbI0h
VHZ1zeMQwOnqAn0D4zrZpdnAuQZQIs/cQKmgEQpwBDWu0GGS+CAeYOflzGx0BIpce4P9juB/0QXt
XPgmHGcDB6fTe7/OD4S82qBLVj6V6nASeywbtDgGY1yCNUZron63QR8noJB70MgF70e3wZNDcMpd
mj7gdVKQpsjts7mBmQE+uNkGb3bAOTfVopzVNA09/p8o0EFDzxssOpxQuTSipb7MpXlcZmc54Ocu
+7WtedAyhgfE9jH+SwpMwPoq9gwlKS5LQrJG1wjdoRX6sm5AbXmDbNcbeNsSMG7w3OoG7G5AeLcb
1HtdT4XAfi8bDBxpdiZkDKGbDSIuY+cTx8Z+1vLLDLyVH0lfAoKNL+j9l7t2ReNtyqrjDPZ83EDo
YMC7oCZuv6bjpw5XwZ3xynK7DbxebTB20PBFTwrJAN8+bEB3OGhA3of6RRo6yzV6Tb8JmzEluvyh
MRgxta6kP0WUSwJ8igwPB0g2pGoEwr7Tm51inzOexqMBoXMwRn8x6BKMFnA1ePu3CnNEbSLQVXNl
vqZ3t83kwJIc+8aVY9K3a6lA7VHmb31PZNdIp0PNj+uCmvm1juGvsopvCfQdzHR+Csvm0oW1sSfR
eM6lxtrV8KR9BmmSO1f9c6VKPBRhhWQ1xnX7XtOeRg3uz5o4R4BIZUBXuFymFIKXluCpk9Hpxkg+
7PqNNlxX0L3glO2I1A87mIv7KO+DppnvEIL7Vjip4pEET9zCKdwKP2t/KdXHxqpfeftSl5EfwGRH
RrGXtd4Jd9UEpXghM4kjS3RO8UScW5LJ8lKOHhCAl4TXdD9on0qFGufUg29SGguAYLI+zaBzfWuM
QRz38XGEAbUZ9d5kkfKsYL3O4ccb1BOdPCz3tRofnF4fPPSS8fNtiyctLFY3gmHgSRgzeGAf9gjt
GE8ACcbRVs/Dvdk00hkUtcubpu2bNFmQFbS8Zku2dYVzBtWjuljW2EFkPozrjCxVzTs5hZC2sWhR
j7NxsYf+juQRSCuLZ2/KBoK0XXbM+reWUZTHp1EO6e5I1X8wQai8BfCG0zvOrgrJehqoQfl6pqFt
jF82qSv9CGfKH9SlQ8cyCZZUTx8I8vr0dikgjkU/J1UMvmfO/QF+rzc1mLbpSXqrrftq7R1vGPGy
HSwdElH4uprYI4KVeV1UeQ30vAFTAPmjX8LPdjDOyE6V/gQZkuyZ+atoc8m3cGf2eFPKQ8hMwI1q
FcRGgvZWmLRBbp1VTDJcvQkduAeYxPVxkwWpkmDNbarvjT0ontMWEcrVVLW1bONrJ0EtLqt3ImrF
cR0ZEaEKtpMM82Uel52pFC/lOusuBvCHPOIXxsQTSU9nvUGrhbSb0T2TEGvdQQP+hkHZXWZXUzAu
RuaiQRLCXChtDN2jQCvT+/ZRhkl5Z/fVzkrn/oSNzM7KwmlHR9KDTvocBzAvoT4DFwwvmoU3CBM8
gwdaBh3Zl0FLvALLquWQDBvqP01ewyLNT1AJ7qxB/66P8y5W1ghF73h7MhwXzYV2ty7kFFsp3+vo
VFbmcoP8KcKJynhXlRaTpZqeb+o9pe6noLRxCtHs5GetJMhj6AwUELVr3F4GjtJWdevakiN5JEf2
Q1o+2wSIBvrjkxk5u7hT8IaDRY4spjoE+lRCyZSRmtJqoIFy9dQxcmgas/X7vr8gwNa60ah5WBDU
94apvuJjcq5gfJtoCphaxoh1y08MMj6KZF8z5YZG/Gzaw2ygzosP+k2ijkgDcio5tXfABBZ0nyxA
PWFzo6jxIwY4I88oTPI0/pnNMO0zCHvz73ySFq+xsJGGdHjscFf0ND2zXJLaQ1CA1PTm39pCB4J0
aeWqlv5iO7EFQ5ts2WhLXmyj8Y/fPHz4MsUwq5QSL8nK8NgwhJZbHNJrVOlMjL8OkElyy65cS9KO
Q5wD1sluLM7orUObeomSd77eaDJmr/NuhWh9oI8LCtKct2aZPtr6+AOpcB4AhbS6zY2L8wQettQy
8hnOTWyam2z1uakPZb4kRwcB56g7ZvCUz72zloznGy9PZ5CnmeQ5Va3tmT6QNPqY0LO9xwuUrjMv
M2Ccs18M449SnuhMYo87HvprZD+DM6yZ1u2rDrvBCAwzt+VxRibJl8r6NtLkR1RvB1+TyydjGH5G
3Zh5cg1viyxSnjo1omSxivpcE8iJOhziYg7WZqZrjtMYC3TjDvHIZUYg1NaVb20SO/jxNmaQZii3
SgACchP/brtOvaFyHBeui1vrcQ22ttNxmHUwyoFp0jXTluX9GHtyWsaIkDVSgooG+duBS59j/eSX
BqDKfF180n01fd5m1JukayCP6n1qtpc84mMca9IRAb30tk7HOyP52drqXTup5ptW4rWUnGrAcMGc
Eete01/LCoWB7BqDI8eIA9tYeUZHCDaWTsQEyD5DNDivqBt5caWQXZ0UXr7ERbA4Y2TyoKgTFIhQ
vSM1Blmtb4l0h5XppshcozqEmZ6SE2mYkD4Y5Ay5GmjXOJgGU7Tchm0s78oof4uHNdqX7Zq5A/Mf
lXjFS1+dMYFAtKfhAXOUwfDziXDH3GN1k8GmW5JnOapMvwyn3yooLMsZlaOyjL/N6IVwfLabuuX3
VMzaq4EdhpcBm2ZgOWvBpJBaTTenLdNPFdU5RHp4JnF5U/fjGjjDJqcs3RbO9N1ZuuyWyBG6mZp+
UmYcfbKk8do1OkZEhSExlZ/A5xZ36tcN93Q04xBQhzP8qu168fMwAN/2A5Z/6za6SdDG2cxcsYmJ
8/4nTD0HPMR8tnFITXA19xWTj0JtOT9MqfCrdHBRkrs1LPQAWpMvJoirLowe7DZ7rdTwMCn2i94h
RzIySXY1a3luw4ZfdXhRopmDoS7hWnJ2N8o4c6Rz4jWgc214XWjrvmKm8RnjeStVlguAHKV0nADr
DBOUSso7F7ek+DCqurpvHX4ySXloQaleoBmHl3ptcmyiz7pEFhJ6HlXTPKLAkm+51q1OsaIaKthU
HK97RZvhQ9HO8a7ejiQ2jKv22a/W7Df9iP7z+tQ1T12uT5dJmfa9haIrE1W0I9dsdCd0bLiQ6EWq
xwgZXkaxaTNYwTj2szsnZ6DCbkKIgFQzvgL9tlhyjDWRtSkLMq/RZFzEgnDk6qWQp3dqZf2rrjSX
Zr8OMa/8v+sG/LNcFUzZHtVRt7KN8L7YFgMPY201F14KlS4fnba5UFUM4lgQmq0P9mItrljt+li7
pK2V3E/YoIqqa31n6m8Jw9+TqLKlRr3k9bz6xdRVwbWtpobIdURGxPeKJn9sgKCvMXy51hgqvhLY
/5VHcWKxIUSykNGYhl5DW/uiSmxMMrk8Qxx6ElVGUSd3liX5qHClD8QKKytbLr2iJA9TM/+eUQk9
Top2i4dafjPPhn4RC3Azg1f1Jtop/67DcaLchwBAvAzupwQeLdRuNGk4ZUZmXJJtIRoP+EasFZCr
BaakV26+OgDLI9Ndjdref6231QbMqXLdq8X2uDZURkbzBSeF+xUkeQAAf+LdGfSL42TSvZFAQ2NF
g9r6tWBqhUdCvJ4W8DcSo5BNIKTEuOLabkbX85DjIvR1IEuuzHNUJJeiLoa7ugK3JZ6otU4iD8Ez
18kxgakYfT3okh09qGn1VIfRfBbNxMJsKsSI7bI+iFXRVrHL3jew2AnEXqJOXYAVS1V2CwBy9hw5
ci55qTmXKOOCNW34iMLWuYh62HzjPQI7CIPbMv/H1iwclmNt4QYrWjALvMiJohG24fnDSrg/SJFj
Xpq6si51GTeBgsiezxzLuogNSp92R7k2QJFu7cQGxNz0uyZvPC3NeomBf9zvugIhljFZGLmNxs21
bdw0FpjcztrnKg5M9pJGcP3C+KEuDRvMzpIFmhWWEPZ6TCYwQh088NzJw7At9L7rj8SUSjee538p
Ff5/FMH/gWGv6aYKA/3fepr/g2H/0n/Gf/Lr/7XDnyACQ7ZJ+5uK8T9ABLIpq46BzJgD3AOkwB90
e0VFiBNCvqk4GFJfQQQbvkDeJFcUhqs2mp3/LygC1bD/u8gil6ZDtJc1ZOA0XXXMv/XOqqZK4mqx
l1tTIdCai8SJteVr/iia1lCCMN/4Cl/Fvxvo+V6DZT4wPshWOETWekliJuSdU/X70mJma07O61gZ
TGcqHcVoxD/LBbVeS5kO7WDfgIOaAKfrGBgq629EMZMLSfnWAyWVgLfJ0h2TFJPc7YqMH/JOntaq
yz61Ijw1puE0xel7LK3fYiW13DyckkOtbzh3htxqMTQ79EZ0z9HhJOSNSXoIWxumLhszQ/wnduGU
1b0oQpiz1ydR1Is1H882H11/DHs8t6Xa/NcOQPT/61b8cRix1x93SbQSleBF9smWEqPfJDtmbSwY
RJvJmYliuCXSdDJqxrZBVIlFtjFj5C0p+E91usjaiS25yOWJIsKHZPjEnmJd7H5dFXXX05RiR7H+
P4r/+7OLA12PCxzeOJLVmo/9htmXNzqsKI3bqihdN3Qb3v+6KkrESkFLiOJ1l+thxC5iFVBF7MlJ
Lnv/1FgxzBWNh+2kfxzxq1bsbkRwZl1RTCwilk38dbF/XdP1fOJYf51KrMbbQyGp+sjY+b/+n3rW
uftiPQ5t1SvrMSTCvkHpS7FMNtjGpKc8naKYb9QMEzmYPGqrvaj6alhuG65Nvo4hWn812jZfV//Y
nIm0HzEAKGSiKFr9dTix+p83i1P8cZVRH2JMvWG9+VTjl5VuKUiBQBEtG5EjdCap9tteQT1XrAvc
imgkmotVRKrS0/QoakXF9UhApQG3iHUCgyCD/r0QDUuRbLzug2y9Sd4VQYo2BrhXw37qFSgU5BL+
XRzCsj0VikrGeaucYQP4Na4l7iRFcOqVTAPhCNdokpAOyPSHwjCM45XoXSaM8hG02Vk9CJA1mT2m
7iCd7I3r8FVUNlyTwd0koSg4daIoauPeOqOnFu/FmliIHUW76+ofhxSVYrNoeN1P1IVqNnpVWiJS
H6023XFRfR+XBs/zsD2vOCTQUzCzNA0LlHzefwjOmVho5FtzF14oS5FkVwrmuRXSLx7WY9MJB9L5
pFuheShX2c+W5m7Vm2dUmxdYWFuuVKQ7TTRWig5m5UamuzLoxOq1rjQ1NN1UxPYEx5AMU7kSMUjp
2FvtTU8bqF/g5g5x22h7xL+x1opY5KbS7GCoPCfFPBVkEzoZKb/w2TGNhy4JsW1uAUr1Sau5ydQk
vlgtIBPpPf+FOjKDWDbYW6pOPQN2W0EyaUwHT7AYBZcW5pGzjxz4NEBpjsrwamjjp0bUb1d0EYqv
5VCfna7NPMeBmlTIWriblfWJiKxn1oN8aJq1OzlwNE+GZP2rhIamfrDIQGlbH21vOX3D7BL3SnDs
6o2eLZAY18pklO+1KV5J/NIZiMWV33itaxdJ2W3Eza8M+5bTRrO121slHkEWWCk3Rh0Rcux9g4rM
3mzN2pfqiVdgKUgjYA/SeZI8+mWLpqszTl8PorY9sdfHT5REHU48i2uNOtwhSz5LVZXv7Y0JVi8Q
wA2hlXBdF6WGJAgnc9rlAATRR9VyPmW1tf3CmLkR/4rTIBHrsc2muYH3DzdxRLfQ6uEdhkPjLzJk
98Ge4LnIqz6fvop9c3CGTj3G67oLcW0+RS0Z1KiWTTeKeAHj0gE1hwiPWDTDUZ8goptDap9wirRP
nbbqPukChC57DYbWvGpg5qOdlEFfDTReZAiAMyOag7I8dOlueZJLV4uP3dP8Ycf7Ad/BChEYb33N
D1g/42Ct+djby0xBiHr8TFI3u2ANV0ffBtKKMzS8wzJ8C35o9V0zYjmC5LQvxySJVS+wkDAFe2gg
xrxYh9L2CAhE8kVZgkb/OYSfY7EdOm09jYhVCaTE718xHWmlQI4/C+1mgDubgww8DzZRZrKFfgqt
pfoWL0esAVTIDwbA//iEqKERHUcTfSAvQ0KVbLE97ib9xdQPunHUNGSM36xfcHkW4wW7bURB0IVs
09vKfI1JIeQ3IZEq1S2Ws57d4BPeysdaBqLud31AqBIf7xV1pKH3iRR23E5VQvVVdwGK5LAzGm9w
jpLtaYhQ/J7rzrXU0p2Gb+3so2fOEcP6PoaYjs217EnDzWI/lvl+Gt6A1bhDdKn7n+a4b0/22cr8
htjguDeSU0rUFk5EfowlAzHdgz6c+uIUZY8Q9QbdC+W7CB9X+wAyJ7QP2ucEN7ms9ptbbHZUs5ui
O46NV8l3EJyxgIq5v9pzor0COyfTBz0e5VpnL1du/5s8p/ytfbUlQJ0H7XcKAo7x2r1yW3S+lB9C
A0BDgA575ezz1Rtf0/PsBNN9RFjopb9NfI1US+9lZI00Yj3HxTzO2h5mE4REo/3VW96an6Pq1s48
JUFkaWeuN7b6PV0ZUp/WlqzNeoPQYyX5lbm32z3T1da6ZMM5TU7jynuhuTNpqTTDiRy0/23Ec3Qm
s8z9TrGJjvYp/5sJe5FUIYF7+jCJx3SOT3XkRVpg8gOOeHecjd+8s7rxMybbS5RI9YHtK7+r9qHM
jvVKHHu7YdwnqWFi3J94OlXr0NjHVAoK8r+NZ5JBHL3+oxrOxuyhcU6ie+k9CYSD45XpbTIEeLVN
umfZZ7k/KLMv39SP+Eop+rNDPkI+6LHfHZGoDVuERXdWdc6JXLYMHW7QukZ6wK/RKiKJfLNmixvM
H/NL3LopPPcgNx569TgRdRhHTER2mGTMe/5NNOywpDgM/RHbN2DByq8UTAmXihJft1dlf1Ifp+LG
Mnfysyr5yB7L5W1i3SffjNkl/WSOJ8VkBO4V76AYOl6FaF9suk3wRZPHlZj0im8zb22LVHdS40KE
4NFOH1xr8fLCn6azCnHMcEMFLuuJMqT/RfOGAVT0Tdp+74t9hrZSqjwPNiaTfpseUNteF8/8WReu
82KDLgm0O/ilYexafJsdN2xPcRjU+m56R9fHtPbpQjJhVxegNrzq28anouOsXc305cbnKJ20T2PP
yX3uOdFez7rFQflc7MsDplUSqWv6zcGFXEg63cWqY7Y8riSRXK0Kxv6FiZMGD/A8fDO0b81wsPKg
PwyP6s9QC7L2wKUR4a3hkOT2XVvvuSYc0LEzVZEk0lzEI17qt450VLLXyOye5SEI5V1FCi70etDU
dMXKdDNON6a8i78Pyd3q+MNwxB6En6vpZXdBZSi5G12HEKVF9uOlfCtum1N8rz8jdbo+xsmOuLza
fGjaPVnEoYKnUzKGC8g5jg04w1tlJpdw226ySW5RvyzVrrEDSzqjE45+w5x5xUMC71w/SHhQ1u6S
H0g0vRXc/x/Vq3XO9cN8gNH5hL0JzLboAZdiuK9KML85eCEvexLDUxaMtlvwLkt++k3WTuYaJFBJ
iXZ14JJqL0w8J/ZRCpMYBfP23dTSsyF5w/qsEy9bHiYmpd0nNmb9ZozjQQvSDH5kj+YGeHmkoECH
VE/PQ/y8rCcbtlvfe0l6GvLAMvfl8BSlv6flfSTXwXzSTeK3goTu2KPWeD/CkJZZkXfaiO7EPrcf
5RXnlUMWQvo7YNJRkaaQ8Sf6nOobRTp3KHbaQcanEA4xoboZ6jzYG1ImpHndlbLijj/tT67yPv6W
6GeOnp2Z0MTgwEbkH9342fSa/fQIRkFR/RVnrpQsLQz/fQ5GJWhmt/+uWG6FdvA+G/xnAoKmZ56w
FXfTneXxqv8wUq9+I7BvXrKgPeoPWrZbd/iEn5cLkBHtIzz0qVcZnhXwpFkBTonyTzKN6Wv0nCae
/GRhjhtw5YrHyxC/zQ6QmQM20NGLfrF/1ofoNrr91b4NsObvsFpSYJuDjCk9iSeWFSmQPAyYHglh
euGh8LinLvR0N94Zjz/cX3Uw/Oh2pn8kdaxetDtQwpeFToEBwIs+bW8M0t9vsgZMzm3fjMcxhFDt
FjpMwCB8Njdl6iDebGrcqdp145FUbrbXKj+8hMTZ1Rcydna6J1qLgpNRkJZ1o9mLfdKLVkXSdxdN
wRFMQLG5i3vVR7ev7xMURl1ZRr/hkelS5ZbE3qN2h4r3CXycB46XrHCr78byjoin5QGp/+64jQf7
WQ0Gdae8HbGpmD5wd9FuliA6gFjo7qQf8qsCByxxu0+UYwLw7A/GoXiQX6JTduukfBLcwvTC9G7E
/fCl2qdc1T55sN8lZob0uG9FFjSVt363uOqABG1KHLI6Vh4zLeyaWFKHvL+fPHSAB3oXxVDjTeYN
I0zE7OlFeVYjb3xSX7u70i9348W4mbHYuGRnBOR9HvYdkns6N80zbmBI3o0XhOn3H4jVrDdk3O+0
HdoF0QGm9o0TB7e83mAoMnIEN+idtcjp8c1wdziduUv5RAuycS4znRtjF7/3RwMkzCdk/1N4+ug+
55viDmky1G/2jD5u1FN5Q9J83XXcx8yTgtx3XKBybnobeoVLEx8e5c7ZqV566Y+kJevn7K5+lr4l
jyDfPtNnx02fLVf+3byikHM03BqZJxdA15uJqKDvPIPIMUHupD7LondbX9nx1XijJ+PR4Q6jYJnL
9LI8sXO09eHTZX1sb+AC18fsTjoYvnVjPKML6IOB2juX0kt21jskSqn341uz9db3wQP056IgQVQc
UJRrvkvaocIclFLBf7WP9gxKjvmZx+E1fe5vpt/Znb0fb5rPnFEPka9v8u9vxV3yuATh7/i9/Fkc
ZO4EfYxxNs4DoGpvLV36z6fhFpD0bviQXxIsGjyTvsXteKkS91n+Vfo0lGdveVHcbnafne/DR6/y
y2bn5qE42J/6S/u+3NER0kHqn+17+kP3pjsi4fNTds7O6gvqdJfmQX/JAtnjpu7VW5be6kuc4Hud
efQ+O/IfPrFC48Y6mB7ya9+2h+4gvaHgTvcGfIUervnQKd4mEPi3K8GA4lDe80k8Nb94VquXvHSP
6znddS/rOaKP6d+qLKhu+Tplv8Rz37+l93EMAMmdeYv8+YzxmZ6CYHB786QhxFkhXQ2Q0eN9Tn6R
ZO3f2MbLlAw+KpU2cxRujQ6GwQXIQkYYp9j5+/o9fZJCL828cIKFsVNArSx7dBF7m9dE+i7f0i+b
HhmiI67SvC0X8xQd5uPMD7LczT/bd9zbcEfZ8byXzxhkaT/IAWFp/SrdrztlFx0qvkipckB1Sn6d
tG/ZXj5Gx+Q4B3yLx2a3BtpJutVu+wr73Mfi18LQrvNj5ycYCvB+hconc75kb7ZFHmwXPyyP8t66
X2+Ad2a3LRlFDO0y3hX5vfKcYDyEl19b0ssF3VOgsoVXLUPlU3qfPKxvs+gARS8RMrrlQ6S73Uv1
C3QLnYrsGt8HdgRjUhLAcBM+g9+nW3wj9df+WPrzUWGq9tnfNyfne5EHkuRNj07m2Z+U2nckAG5I
8czbVa83+Fp0j2PvDUipNO74ZL3JL/gZ1F627ouHbXzwoXxvPrhEZGwSw29+jcvN+sYHcfy+8jOi
dYRAvb11bAwR8HulW8Ky3lVbdzktwffxwAiPueYj8GQf/BF9RexFQXtPX8pn8mMtbqdl373k93R5
+f10y33NDrLXBNJ5iFzlXj3FvKEMgTzlQz5ijGveOIF95MXXcVT06qDxywOZWd/cO/fyHjb1oScB
9hy9tbvaX05wEWK6sdfo8D326wDIYcw3DfDlzehWfPDSe657JmlFJyl7847Z2Bv5pui79XN9R6fA
+Km8G/c23+5059yVb/XZPPbnuPOcR9jvE0S8NOCTpl4YDhKH4aF9mQ8a3XN7nLzWx9Tkyd43e0ao
HHl/sX3jkTHF9As5yeYjOo3nar8ehl8j/cQBQ3IPuNwh3aVPyUP2YJzL3fSIZICnvCE5wts6Sz4G
oryZD7yz4SuxRX5A/ZeGCE0SyK/L5/JZX9rn7LG4629KekHrh3MfP1tPyn0LAugYnsx9cWc/QEbx
0/fvqS89klDkddYO2x9OHTF5ztYzX9XP/CIZWD65E4Dnzu1HT/omwwhP3IwhlCcl7jc7vuVLI792
IU61O8bFJ/OUBcneIbx7ZL7wkO6UO4aZPLXqiwMaHTI2PjnH+Tk66Udn9ct0p9oYr/5CV8Ejx5mZ
C7/i2vvWc//sOD4wKZ4j8AzP1aPzxkV8j/YM8NN03AnGRTYysEIvWWNuxPxIRNykLRBZbRosYvFV
B35a2xSQrjyiKxFIlL6iUbYCQnJKH5iFEIQSUltiISJR11VRihZUZtRJ0z0RihLXY8s5WpxO7SM2
/JRN63wU1mrhVB+1ekLgB/U7ZWIsOCbnTvoYCeYoKzRxUFcN4qIHMF8RnsHcIy4fSeeDYmXVQZaj
e5WY/L4lrXwSC6YupiyZR6Gy1W4qeaLUdVp7wFvXV2di/V26RfUVQfgRKnuimPVywlcAcI2ZI+qM
862rJjYRTPslstsiQJGfCElZPpIUJ2crlLLWlHwS1i6XVic2mKDVc1K2qnnjw8YxzAeA+N+V3iT6
ogL2jxlR13NEggqUIINy/L2y/BapDoZBmzgYUS0yAnIqb0SDBOxhWCf7ea3ukFWiw22ke2K0hxYh
KDpOrkmLNLRpq7d5tCxvyBYAtRu9tQe+S2x7Kw6zSUgj0Wt60y2kK2K8Iq4rSugPkqybmuZchFGx
v2qL/ZPeWC0NyaGNo11ULnA3hZqY0Bob/7vgmAxaAPYBMzARBxWLWgI9AbqWuKgZhg/9UIw7EZf9
itWqG79VbRKWiO9Jh2RTSJQ3dcV5i5Qv/y5hSY7G3lYnFn+tinZitw1thOQQco3Kpttodr8yufsl
z7ZHbpUOYFN4lFDec3tEH5VN/dHBt15wZwTlRZBl8AKZ9ymykQXwiyFCRXJAT7LZlCXrLYszb2qT
opQhQLluSpTpOiNdY5ZKEG7KlgUQmfGsaMP90LTKbtxUvla1RqOSqDq/hvlqqfZw/FoTGxwZhcEk
Imb/R6XY72tdFMd5s5iqsTUm5mrQ4atA0k8grokfd8YmBfhVFtViUZKrPOXb4rp63dp0IRHXMd+L
Ztf6r6NoQ4to4HWTOZUP9mD1iG5bIBMAPXjjIhu3iUMWFF7FkhFlALu5KZUCBKpOoNGQhNXRMXWU
+b3alE1Ruzhet4lStDGPbcGRFDtoZoNUqtgkFo2QUtU3VdWqRlFQNBI7Eb1GflURacTtfLOQt/06
1LX2a13sIHYVB02FmK4oXo/31VJUXne/7vN1+L+bz5sObduOT3/tIk44bQq206Zlez3Mtd3fV/bH
+j9e2fXUzaa4qyK9+7WLOOQfV//Hf/dVFHuC3eI5EcU/zvRVFLVf/6CzKQWbQjN4+/3ElfzHeyLO
bAkeuTjEH2e+/p9//TP/fAXXU6wfa6+/kKZ777Z8Rrl1/uum5CgWf9X9tfpPTcgBENf66zCKSFpd
m4vStY04bCWIgtc2183/VPf3acQh/jrsVxtLWx//F3vnsd24lrTZJ8K/4M1U9KQobzI1wcq8mRfe
Awfm6XsHVFWZt8xf3fOecEl0IinCnIj49u4l37hCC/y1ARtJ/rHpUrKo9DVXjMJ66z/9+olRWDkH
6y3+2kVd7/7543ptRa0J3NZw+HdPsd5jvfj1NOuvv72a//i4f3ph//Fp1vv9+kvr8/26DoFKvPv/
BJP/G7uH4wSIhv7z6NHmW55QmS+Tv0BMPh/19/kjSCUGuBFPDEUWXEiGjP7h97D/x9Yxz3rMGNkm
w0R/nT+CsRMYuun5lqkzNPR3iIn5P45lwTYBcIL+Dgne/9P80b8RJxmmwaCTJzNIpi2Mk9/ESWQU
K6J/w3SH9DrYGZXOKOtk3yq9ng5RHavXyp7K02DDIG4SRuC01qGQ3BNQoyn8rEJ0L4WeC8nrVk0B
2B6rvEtcQnTYFxyzvC+AJZ9De/4ArF9ThUQtPyEz7oL6dfT96b5M5+k+6H33v4ixHFHn/KbW0eXz
1gOx6ti6zek2E1y/vzFsCHWG/0rdIcUpDiNrfrO3/1js1qGSF5W3lefRQyiGlAltFvvYRxiCGifj
ro7tn31MoyaY1H3l1tPVNPCMWQPnwb6pYB1n9U4f6el6SSxDTWNGj4UgV+vjw0aS+YNQVHLUJ85q
vcF48YqKMSqzU7swrdWFpmh/cPXyT/Ju46V1afjNdr/TSprikSrTizUAHs36bqBBwBziPGfRzp2M
8GLFI0FXzd92obJewUv6N4Fnxxd63qUWncrZ155dwGDHEjMvVb82+S+fqfvPZhj5TF3PRVcaOB72
0n+yLtoJEC83mPu7aJn7vRpoCQTKHmi7edGLiqhq1QiJtIXRc8JhTJjV6UdfjT98O+oOSdCYl64n
sRlm+r2CW3Xsq55elUtQqkkPrXgwUzfPnoDUkF1zWcYFNJ3b0PlCigy5R+6ScKxVeYkmfRfZPsWu
kdZbmejjS1Yxpx+76fOUxyUrNDwHhzyuDbqgWMvsyYgPjUO/i43OYDLCz++VE271QfXptmG2+2Y2
R+PF8vgsg+XBj93ibSY6pTgmbHunjq+ZUd3Pajh7IHuBay39MTadpyzxKevGffFmEuVyhubWsvLn
hGm7868LJeMd80y1/Ledzd+4Ur97w41/3Xg9HBge33KXbdha9VK/bbzerEWM/ORUoJzvBB+qi5+1
0MFVqrGkoIdOgCG5KNtxr5OiL5RxYMB4vGvM+IJYKiUU72DztPXbhPiSFWuHoN8GTaO//e+vk3HN
v2yKnuEJw9sKxJbEhXytfnuZjj5Fdt1FJTI2rTvjEr+WbuHsnHiEAza7wX/5c6ZIwn7f9OXvBbqp
e7bP8ObqSvr979V8/5emBfe47TQjvteMnw3K9BtNMx14xYZ9N/dZSYh9CZ4bNqgbokBbNxiqS6D3
eNVtaHhPJIyit97Si5OOX5qA3ncm82/yHt5dFeeciLdhfahCHeRvMHvXCu8cRAU6dB2W7ut/+fxk
X/XXN8S2ZjqmzWyrK0eTv36AnmclOFiL5M6xrQ8vj+OLF/Pln3yjZXcVUXV3M4YaPUftOlVrtxZ7
oku70GtI3eYpSaQ3yjREb/Aga2Zv2NXGw3qR2cFPo+y9k5WwCc7GkoGIJmo5LWW/6eJ2j52bPbvB
u/PKZdyPAyW2sBnPhKQLsKbKOC+aZZz1pLH3Xevld7oXNiQZUu89ANqBdw03ZhjfGenggZXP/WFb
9JsoWDp2AXW3j2oqG6GTTVdtzClaBPquNMzpbHgQDjUI2X1HsEtr9X4TGqaNii8xbn2SbQz1Zcsx
oq5wCSv8hSSJy7v//XN3/vWLhFCRwyPeLRMp3WrD/u2Lq7uDU5Kd166zv+nDySRB6oyPvtN+oQPO
jleloEhanxJIPP/IDD/9adHsYXh+/NZk8D3bzHbvYy3VTxkczENveuFTCob/JpH7qm4zWdr8A3Do
HTHO02S66Uda+YAR/Tm+J8A/PzCtBd7WydkTla79zTZCxtPrJ7vxSQ61XYCXZ/E2ZjM/pNAz6dcv
w5bUiHaKSuN5NDN7j+XaPsaLDy4WEuJRc/RmX9qTfUxKl3JtOR6nJWl2tlvmdxFdIei1X1U21ffE
Pto323tszW569zunv+rG53nlX6Rxv+/AzMD7l6+2ZVvsEdyAcx2iWJ5MR//2Ebutn+ht3FPrJtS+
aYzcuIC/RtfdTfQqo8Rg1oPxkvWG9WLyw1AjR819Wk2b8Vj+4zFGqP1RL3X721W/3cXxUoO+qjzw
17Oprkg3ykOD+vm8681hnvInfrvn4lLNJv2MP94NLLKjvEptbIuTZlJmXF/Qr3t//sn1BcbIvdFk
2W+f11nrK/j1x+cAudU+9Ab91MX99t++p1/3/tvzGj+KyJ/Pn6/hH2/m159fb/h8TeuPn390qIt7
1LBGq4aD0/tEOeU9rHcI7ZbU5Prjest6Ma8f//qjzSabNXdMU0YHQzFKFJIq06zwkkjMzEGuTehM
SfxMSRAtlUhar/BijJzHviln+XPJ+4wJlddZG/9UlW0Q47NuU3v5U5+Qc6s5eUFQ8C2XEFycTd/r
Qne26UB8fvQY1iFMNgR6/RoO3l3amaSQO5fKbFu+mwmnq1AQruDaiD8b0WEoiwsHfEJ5Es9LSwFN
Q8ggzw5Eeg3xNZwmZOT6TAn4zdPjKIG/iDGTJDcZfnZpzAJX2GC31m4yz0bSRWDQDFs6kfr0PJbs
RgeJFSa+V210goYSOGwkeljQ/iWJ2EkksSOb6CY/ADjcKYksJmQX+bcRSSbNCNfrHgLlvMtSbFd6
X1JHBHiy9QbtUKxxSAlGmiQkY4lKRhQy2Xw/bDBpRVttnRmGBD6XjbPGLCVwmTKNoNYIpoQxcUZt
sO21N5nkNCWw2Ul0k+n7L8sa5rTOmeXdRVGHe6TXi5sc+bJPZPXYCiOibM1bp6HxmVfZlyzU0ewS
GzXy6Ufq1M+m3Q4MSJlPKejiAOkr4OfiaZHwaU0KtZE4KpoNrQxfwqAGyE1GryK3WpJfxdK6bSXQ
SnhyVVtb9xC3QdVQwGGkrZ9r0rvWdONLxldzS2RUNOkqnT0jVmOJ0Lb1USNR20q0liP2JZOwLcld
YreMyTkSxFUkcpd0+iNp8qfCK7Wr6bOXlPBuTYoXXKF+mr2GibKJLxiB6nETwgOWaZZSOacpJuUH
EAvHHlM8qcPhPQYz4cwHl0z8aWhSuFRZSSyvX+YbY0pNanMxGaEh5eyGuRRc2q+GBJOXVd8J6iCf
8GiZ3UDogFwiMlgw+hTjW0k4F5J1Xgg9Y4E+59Ob7aQ/3Iq+wNSqnWOnTyU6+1swlEjA6P1VY+Pv
GyLVKdFqy4tvc8KBdEeeeo7zN4oQdkkYW+k3vmSzExtDhDEyYWczPacROs6dtymNm/uRgZc6hrRY
dzTx18w3K72FEHgsafChcsmFt/WdJknxSjLjiaTHPWLkSvLkAcFyRcDcImjOIH8Ei4SJkEFS6L3k
0eepZG7GZteaLvmPxWZkx6zJr2PTWSTPXkuyvSHiPhQ9iPsRBrrFbJOk4HXi8I7k4iF73mBuN0lj
+dF5NOZ9mYJWZtiWHRbjmF32Ng9axsquBg5oWuc5nAHVZjp6GEnlSz4/ccmzVbBvPBpncfitcOnG
W5xs7KPJ37Na75Hy1HtYRvOdevHSXKaCdzo7RKBDzE0tC2PlnT+MO2dK74bONoHewBNIAQs0ivWg
sRi3msdQ/uSxKU+E4xbOL2nKVq+cbO3TNHgdXVoToJpvDb0rTr3ZfOU7hJ+wZJjSymg8k1OkU4m5
kQO081Xz+fwm8B+7us5MIQqFcJLpQE7Zre9WDC3lwF6qwX42OUMF/VKWR5QdycbUGkaiAv/n2DEF
wissmT/0LiyHvkNd3FTySSdkM3a2D7I5IR49u9G7AvbAUox5XOE/2Asjn+l1Ei6EEkLEDCoiFWaE
LvQINIxMQbAqWoQskYOYUMKa6BgAS4FPkJlP+AfAo3CFTFELoyIUWsUCtmISfsUAyCJTarzhg+yE
cJH37zHAC/K9PjYAGBit0DACsBiz81CtlAzhZaQrOUMYGrH72C+08Syha/RgNlrhbQSAN2Y9nxnQ
1K2DbTAWKHQOdT8Kq6OoN56wOxJGsiL2h5tYuB62ED7MtmA+jpZyKPQP1kVHnBblwXA+BvAgpnBC
stJ6caAaeSH/4QWUiL8yRYQuAk7n2RTeyCTkEVMYJMr6xgamDvmQvGbsODez8EoywCUxZ9WLkEzq
EaYJOfVDIcgToZ3Mwj1Be0mSQlAomf4ESGX5WjK0AF6R6WPhpmgAVFpAKqSsdzVglUEIKx6olUaY
KxCQfYbR4LCMQmSxQbNMwmgJhdZSCbdFB+AyCsllAOliCNslEcpLLbyXGfDLIASYRlgwhVBhwIxc
6JQ5BwoTDyStn1MAMhUgGXDtP4cy+2kMXcxwxHR0FgJnBvAZ6LJMDAiPJrFpAiV17Nyk03BthFpj
C78mokHUO+W7K2SbRRg3GBS2LtCbLnZQkwukrN2zg0lqUM0jRGYiO8YX0wHSHAiuWQm4uewgOq/3
WC/WXzNBPetuPOHjBP+8Pkweb/DB/OELJBoCvPbUCzgagpl3iDJg0sDM/1yfoxtnussAp5sG9LQt
EOqR0Pf9LGDqRZ6j9B+VIKtdgVdXgrGeBGidC9raEsi1gna9PpcnAGxPUNimQLFZihWHQUDZqSCz
EZx884S3bQpNOwGrrQlg2xfUNmWX8Yq9Y9oGgJU+oEbt17vy0dMZFFw34bWZ1RsI71hg3i3NYeAV
8mzqmgrw2xT0d05+8V4XHDgBZMZXBBEewgp35J469HAlGPFZgOKToMVHgYxHGYeMWsDjCwTyUdDv
k0DJZ8GTc8pzmVg172ZBlyuBmOuCM1/vptvvll3b32dBnlsCP58Fg+4IEH0UNDrtuLf1ng7U9FTw
6cMKUhekOsPnwNW3maDWDYGuE2zfVvQ+f/gCZCc0mT4HhBMPOC/No0dA/dFuQLiv78VmMLIVvPsk
oPdWkO+DwN9dwcArHSB8Dxl+/YAMWPEcrpr3XPDxbAcjcjuQ8o7A5SvBzFfw5te71i5UH1tg9LVg
6V0B1JeCqs8toPXrXTCmkYEAaK8J2t4XyH0guHtNwPfNisCHhb/eNRqip1Ew+ZUA81tB5xcC0W8F
p1+4gPV7CPufH6RA90vB7xsC4vcFyY+9U3+ChY7sVP57I3ynWhD+Q8RzOB1Y/0EA/6BEQP3PQP9j
HT/AaL9rqw5AxACNavVbRO/9nSnagPUOpXZpRSiQilpAE8mAEt3AzGvchCKSCCrWl6PxvRA5gS2a
glmEBUrUBesz0GYXpQGp23Sbi+YgFOHBKOqDRiQIjLV9vhTRIww9ogRflAlGPXTbQjwLnggVUL2u
9+KUz9n0/K27SvQL6x10UTLM2tP6elyRNZSibYAN2t8GHSqHUaQOCrvD5wsS4UMl6oe5RgKhiw6i
7BFDePyz1ntQh2jJMKCPYOfpXOJVKSFyiQ7LxPpXHBFPsOg07nOW01Ba0FLEIqiI+Vauz9GJvIIP
KH6IfIQWheyaZHH/1cV2sd5jEQGGKSqMTKQYi+gxJKj/tcSYsf6VUCQaZuUeE9FqJCLYUKLa4Ms0
f0mxb6zP04uQo/Hc7NERSUfEMXfvirhDYfBYnwdOJDM0ovfoTEQfsyg/HJF/cHpwXu+RiRgkYZN4
XBpGqk3RhqTMQg0iEqkwijiiFklEMuKIbqQR8YiDgWQUrQsbj049AD2JL6ISfVWWyAN0LCbUJZ3X
XMQmZGv7fSiyE6O7rA80RYPSU9c4czzPd6B5GOHFlrLeWItAJRGVyihSlalGr+LJs6YYV0ZRr6Qt
EhZHdCyViFnckZMbRC39hLJlEHlLIBoXkwLf+vJ1l9EpylrWtRTtiyECmPUJlZo++lUOI5qYRIQx
6/UlDpm8QyZTi1ZmEcHMKKqZBZrk+hIr0dCAcjFuU1HTkBxiWlZeoiviGjq5/mOSIrNRorX5vAHT
jSnKG1/kN6VocEiWZ190zDjrUyqR5fiizdFEoNOLSidwWaRpotepRbTTdA2JB5HvLP2Ihkfe+0R+
hTLP8laJrKcVbU86BcvXGpOPQc+PkDbnP65ofqa6Nc8wIornAQfQ56sSLVAogiBdVEG+SIPWGzo8
QpkIhdRCHAnlFGtc0Q0RA1hf7SAiokaURLHIiSCzUCPGV/T56YjCqI2QGaWiNXJEcLQ+a4vzaBT5
EaHy/Axub/z8B+baxeRA/+HDp9hbok/SRaTkY1Ra36QmkqX1KzaIeGn92s0iYzLTg46baRJJU2Sg
awpsqHsWpwR9yOxjVTOR1Q95fWpT90Mz0vpYWE5zreKIU5PSUgfXrrxrnQHz8L15YU+oOKoOT4Hu
VKfUs/qbUWexSvz/MOp2fNMGAM448/PvUwIPc9/a1wrGpe7XAfSOAUjh8t2dIb2Yic2M5ugiD+9G
extM7ryl/fLh+TXtGQPmWTH6DGn7wSlJRyZbw8Y6T4oxo5I1YOL13tWzWFVH9gCYLKHxtpjqWcvt
D8oYxzz1nbfBjKONaSp1HNze3Mce22jn1NMuVu1wXvqsuYSQ8z4vIonhetST5J9WniGo0ZRff5yk
tz8o89JODHWtsdZf1//z/dY7rxdrIPHz14HcWVQul/Vh6xOs1y9rj3/98deV7MaxsqO4JBsmCetu
DUErAoA2bjOldZQL/G6+8lwYiF0t36ExfIPiSv1F9GixiNIqv39L4i+FCNRaryCs44pebbDRVMtF
Nuic69aKc35RzBkiZMNHyIera1vHB1rk8xHtc/RtvT6fVq5/JWo3IkT1Tg35wEEA8Zuv7j0Rwa13
UCKHWz0AxT+MANlFpzh1tCbzOcuZzhTFXK//rFbnXCwOuvViDhoALwGQXJHUBdjqUOSRBmjUl0RE
dsSBMzNkiMjDcGc7zX3hWbcejMnD+vGwlXU7MwODUmWwVl2x5aWNel3fHNXR+kxCptBrKTlWCxbB
75k49zSx75Ve8moohp66rn/RxdD3KwnfrAK/FIhUIk6/NTG/3lqK8U9SwvHAVFHJjGosVsASPSAn
ClHdW5v1hcUWOceqZhVX5QX/QkB2wGIYfW3bly7jaqsDIFGEalchJbSRExZICjW09Ls1wr1GVNfw
ahVx4K3EbxiK6TAU5yHVK+h18v34fHZHpq3W34vECDbp5Aw3sd0zX5wS7Qmz42IM5S5iV0WLBefi
Qtd664qHMV2NjIsncTOcvKpvHwfxNuoxjVRw5yAoOu/W1Wb0jknmkZ5hrBGQMfbHpR3fEptJffFC
VmKIZLFo9+QeYxEtG4KPbhWTyZNKGPj2J+Mmld5eXTMLbaTmDH/Gcs/aFP4xdt2P1AuLjT+0Ge01
685WZX1oK/c+X4DhmtP4tg5vrqzqFd+9/tSuAzTQN0qAiHgd+8xdjmVLQjIJ3GuILoyxsAetauIL
83ycH6a1fxp46LUbwcPmXWDv20ZjnZ469i71EgIeRjIcQq89doM7RjfAGAloZ0ywGyrYWcoY7jRA
sKdoUW+9M4B7Ta38UnZ2/bTMTbZN5si9Om5l7VNLA6I1xM6GJqSHkie0zmowrHM4MUU/E4NBQsHS
mEMDqFPNOjBNUN77g7MvGwrE0KUrvW4SeJ0vkT2GD1kVpDsrz6udo+fLk1ZSZeTvYJgcqNlmMUlL
Y6bDkToNuanRMI51kTOUbQfXua89EpvQOT61vENDPLqzsksqguD1AiraQ9DpAEMr8/bf5eMzzSg3
OKFa3o72R5QlryheSHdZTXjWquHNjbVdl000GyiIeJI0B33dnT31ATra2M+T+RBbsAy8jshY4afH
2GKhg4cQNaLtkNwZ44wPyDTaw2hVt0U/m+dfF5XLjMDC/OyNBjggjMkflhU5qNj1/+Y8FtPwpHI8
zLVifjxJCdHKBSWn4Zx4b0GlJrBZNTn8nuH9Mnf2uQmpcr2q/MdPKkiZw/CctwUaLVXFaUYHa5Ah
B6TUnc0Z54juTV+ijJ441ZqHwkiAsdhRjbMyTCkHr3rY9XsumBdi/5r4aBzNgoy76CDCs/niFNNt
lhKT1M2QkyOPw2iTB8Pnxfqr+HkwtsgtUBf5P6O8GOWdrBeFpTnbsARlMTlxyPQZF3hy8l1RDswR
6yi6S2Z0K6W/BC17+TjkJawXPtbmz5/Cf/zEk1lQVenlZ2k/nns8jOf1J3sKf/91vUHH1lKkLsm0
v7qDs6Z4jWwzhdIJuX29KBokrCFnbJ+/rtf5GaGPNMYJrzWi87EY241Bnd/EvkcAznJfh4hQUbjA
TvfloZnJriS2lmoDRnoCoeNNsExZSRp1fUEvxFQuLNtiS9eN0qjPvt3UR8rQtEDN/TJWb7ZaKNTY
+mPYlxbnEnV1GQ1SEf3M/iKSHqzW94w7tNIo5bNaL1zO1m8qPSk+P5KhwC9u5AFVSvlWrO8kA0N2
CFmu69qxhMSwn5Lsmz446cVRSHFn0EDrpPnnzDlb57aiZkgjJHygvAbJb7Hy3YqQcGzIAQy6gKUM
RkbKl0A/p2kRnTIQCCyR2GkXHpuaWeqMU6+/BwMh2HDIT+aYlludqtrGRg5TNAED1q3ExAk/Uyvg
yz6YFggHj1HQOBxePqfnZVtZdwe/qA7rT+t1kcsXMegbOq5iNe+rYFczbXBNlwJSYNzGGICy8pZe
ITlFZplvtNgHBKtH08Er9J7uLosxs7JfcCw3e0xK/v3kmvuBZe43ejDFtkB9RWG6Rz0YhuNpbDSI
s6FxHaZkoAQccb0VHVETZrcWUzyie9onU9x8BIUJijlsXwoHU6mvoDZkz7ETTE9ltxD5YMagsjR1
ToGUQQ+kt2TTEke4JDbnJJrvx6YmtNxrJQBulxwQIzvNrjNH2jS5iqnFms6t4VSHInPjhwI+L/JT
syCDVkSUlFNZrsD1ZOJlfDSp8O4mv8HOnI/jo+c4LKMMPTzG7rw3F618KKCkz65rPYR+U27MgNYN
FFDS7Vr9BZUX0o5G9tYplAUnU9mtwZzYjTFb1d41c1CqdbTQnfHNrSqi4CVX6Y9WD+vr+hu1eE4B
K3YqkEiJjAWOTTYMKbfmGR+Drbk7yzaYvjCL5H2CULpe79WKLoIZGyfXytq3tmDouUqdp2CsvrZz
hBE9s6gpNb17NGcGYMyFTJ7utO82ff5TnRhCPi6798pYnO0UlTSF5FY/IwTk5CTR66CEDRfNpKyN
WDvpMANJwc3tu+eGZ07ng++NTSjKtZYd6GNyW3ofU8rZJ8U4PfV3mZt29+uF1dUJwxNTcEqbjEmJ
ujK+9VrL8EBBXmgIBxYGnHh0MF4eBtrtrD3eml7z38AfJsdyzK40UoadVsXmQyQ/zclS7OJkqo6t
TciXVn127gCZP8Z5C/IX7CHR5bnaMvvV81F3zQZawQyrVGfMDWAhBCv2QPkwtyc9dsxjV+ZQmwed
THtdvwUqo7eRdBTbbKLVpsXQme/bCs343AM3yJLvKnoOMnWMakt/m/zkDBQs3qRu1Lx45pSfykm1
Gya4qCfrdx02UV6EV5C4J/0V2N3C2N/UX2FHkbnIyDPmacahMOi7x7Yphgsi7/CnlUHT7zpGiXZG
N5zGtqnfWhoc5BPye3tJGfqaCOkH5ROdKfMlia3+xU3YNZAIS+Y+hdc5dPcl78L15uLYW315u27p
ievDECz33gyld+Yx/Nc41JVPeZkPV8tE9Cu/GR5De5re0LnxoFJbEEOscInvj9qU2+/elB/apSq+
A1ydN6FKozuVT1+bqZ5vaYtS+3Ys7+T5jvnoyMWiyLam1NEL3YYHwqpvg5md95zm/QOzT5uB0Qpo
4+24TUJ3frSQiZ1ULIRmK2MSn2GRcqahbYace4aqtL6YFCthCxK6rI34u09kUgvbG/raw1fmrlxg
Dp2DPC6qyDNRtnAb/yOSUgKlyvqWBhGmhiJw9zUONFof8/yHn7s7f4mXr0GgmIjK42Ib+dawrfWq
22v23D/3RcMetFmSPyZAG37tuT+1FGb5XlNjdOD0zMe71e/YkcVfGYCM9oUfF+dx0IPHgZz24kzv
RhBZr42jJzQQORCYsW6+Ohi6P39db6XDSZPU4VSx6sLm2Z3YOU+z/QWS8HJowoiRFfm1aacvqjUk
SD3+2Tn6QuCLnJ8K8vuZYYCLn2IUsWwqwI6LnIGqJZ7TNqJXmszUTSjv6u4fQUH7nhGP+MUOaQTQ
JZmPEQGRp8XQpQ1DBNS2lvGlPDhOZP+p9+o7ahAkfQR00HxMxX0ecZaUBKV2U7QJfZw5S7+MSbtn
NjF9tZPpq55VKYHWzP9mdv5j45vNz9GtaM2E0CWW6kjxJySQC9TaqR12y1VOidTJRLQRdQRzXPcl
FCx5yhnBQfMWE2+7huxtUuN9khtf8yRaTvbS9VeU9BB20/oNBo5XpParct3xuWCbLy27v4ctS9B+
9o0TXyKS3o5f7Vo9K7ZDN/TgQ13nUqv+uWryF6Ox+l1qLR+QdMEL+Cbrmq5PnjqtM7btoLRjtNTq
ncd8yVqbLG7DhtHSKobVvRDo76lvzUHNEg1z0ftSTf6N3W2yznK/WHT4i/I0NbpxbzWEgyMAyY0d
DhRM46NFKelImSnZOO5oH0tV6nJ8rUBmZM4uNqnLWGHe4bjWWTAqc9rYWQgQpzS953aGkNtVpQss
0aKn51Teuc+G6ET1aAFJ4VzTTI+/xhH6jCXXvsd4SvcqJSdmRTP6HfbIf3TTD3sa6cGOVn21NBug
fauMuy4d3ibNFBBR4dymQ/fRtkb7nEd1fQ6lvun6rfPN/zpVdXToesd4GQ0zvwR9YTyVHDxv2Jvm
nPmW1uuyeN/S2thqcdXfuK6L2jw0oxMASmQlaZoeuoXCnF81/Uk5FvnWNmB11vv5gbYIBzE9mm8Z
laGukFTege5XdbUH4COOrV1ThrR39Ivrp7q12r3fVwB8P/+DPSBWKzJf3KJD6ArU9FuXpHumkbWD
M8b5ya/kU9Gt5yZLrJOe5fWlDunjGkTsLOVMT/EyaXdGrw7rb44LeIJjCrxoqK+VSzTrhubWFtyZ
9SNbqh+tA5Kl4L+P5pHYad5530ZGYmEAcCq28aC13vU9jQwCa6/dxOAFIRb7a6BewVTNt+4I4aMK
O3LPul1ccKrIKJF+6Yrl7xfw+Txt+EknAwFFyGChZnFqgdEHWNZ8m8OefE202btojM+BREiD+zkb
gnu2ypnhbwNGBjNbPycHcmEa28uRNlX6nAN0biFWtTMYoEjXnjsr4lvYdVRIXRN0dJldS4dVWDeV
8WYJ+3ifwSrfm3Fj3qyL6a4Y+kuYg8UZu+A5NzQGYJLkYSgYe5jcoLtjF+VV/l0+Auaq5R0y/6Rd
m5ATrGZEkf1a6DPcbpX6d13vFawrlPPWxvGhCAjho3msTzSNIR03UJSTksf2ThOcebrXTB/fExZV
b+YUWfiOyt0UNvVX6Tyi6G3KrZ2O7m7uZs7QChoIvBtgGPWobnrqC2cNC/HBqcs/qPCCxUlM+CiR
v88oj23rLtUPgw+owIFTfdO73bm0m+7NhbqSRAUYetlMVFcC4U+a6TGbne96XbiyhB8fGbEvLjan
9pswNpJtVHUHcOzyzsPXyJqYLmKO9Y9Qzii16egavomAyd5U/qNlEYlulVLffXFYDZAiqBfljAcZ
ycOipH8falskpsOrFqY7hL4Jh7qQitJSQdRg/weiK0tv6fM92x5dFjfRlntTS/LtyBD2MQqmcJ/T
+6CF330rRpLVQ1v8SY2GrprhFbcjGr2z6SZPjV8nW0x01dHxFZZ4ix324jr5xS4qWEBW5J00Pa+O
nW8YfPaADG8WbQRgYk4WjCV7W3tV/u6UOiUW6vVln3HMd/vgu87BQo+j4rn28E54nb61lRvcJ6bV
H2Dzq8tcJdGlMCL3YFT0U82BXparvhZVE9G8LfLL5BmHLug5hiXRF4iaIy84ZOobxIxRd9cktXY5
8lzS/JYqH8zUwTikZ/SfYDjVvG1elPUa9UvPfEP0WKeZseOlE+4P2X1BC9Sf2IDb6SbrRcBts/Cz
29t1VLwo43anJV22dRdlsF+JwwMRXHXg+MFY1GC2F6vp20udcJSv2vkUMYB/4IwjvDECM9/BSGw3
GbdcWn9qyd27d5rLTFbYj69Tm18bbNEnzk1AkNhAlJY0hpsGk80ruq9x36QP0+A0Fz3TrnlswsfI
MD1psx1fqXxhJMr1+DbLsWkUfXfB8XEy9EJ7CKPFuJkUm3JONey9BXCWlsNbH+2TPCG+Dj3vTmsW
49Q7McBzrioyaElwxDdmnc93GBpeokT3XpTeG4yXBu8qad3HpHlX02GidPKUola5IYlqHtQE7qm2
s51fUSfxjGMfV2ww9bJVVlseIo1TncI5mLQrPiyXjm9aOR+OOzRPac3evisK97veGBuriqLnbPZE
/EWMJko+0kEF+8ZxyyMq9+m9Zy4pLadgUxR2ftI0u3vOHL6wtD+OfhB17k3lRJT+Cqth2qV85tOg
KNX28YVJmJto/t4Psty1PqYIqkk6ge0Zl2A6J0l2OyvOc6rWx0BDsgKg/cAEeVYyYueZlyGeFoIf
fBLpPEzvBE9QDzBPQYPJm945Z2GQMmyfBtvamnWUPbKGgNxUtsHOrdz26FDAkNpBdF0vksnieUtD
bQPwba3dey/rRUZpdwbtMEKkfB8LhqEaBOCHxILpELkBERwNRCV+pGsXcji2AXQzkNdnx7yP9TPi
FnNbFF39QaXqobfCL5qjHVmLK06t2BWkA8tXf/Dzu/LDnNndpUOUME7lQwmincNASq4xtkV8d0Zb
xH92zl76hUZNwEpANUC7dNu4C2utoGJvs1ZPihctyCq4W95DGjG63bOgCTJtPidDB7C/buuLqcEG
TyKdGfLRtk49Q3tlbxjXuWOZWeVew7mJlh4YsnX4TrJum8b8cXDt/pqq4DZyEQ2YQ8WQWUHDWWOo
xfOYze7rpjjrFL6Djg0tU9bZzhLOrn16VBQxgye/68GSRR+d5QVvQ+WBluZ0hBnRCsvP5JT7Nxb5
JemWvLxnwGSnPHO8BZsKIOA+ipvs1YkTgPH6eG1M6QYCt7xvI9s7NX75xWhj4545lguBu+ZkDW75
+n+4O5PdtpEEDL9Ko+80WFVcgek+yNosS95kJ3FfCHdscGdx355+Pik5JN2TID1zCDAXIrYF2ayw
SlX/6hZiV4xVAiFThat4GkvAiiT+c5x2bbIZPBk8VsM0PEqaMWSdvsJjtQfDDpt7TsAY8AOfkqLA
AF7Itcbsk1QHd4B4NZtBoc3qoCBM4vyKxo23qSaygcWDLLEWt/n54lClsWjVeI0zKN/bKWFv7IHE
9TiOwGfahh4eTPsxatvbsLDyF19SR4aTPnbr8FiqObvsu1Q/09sNgePabwqanW57GrWUzS7e9jdV
4SW73NbiAExlHnKolgNyvHY31Ma+LapVARj17PYIa6s2iq91GLxvwYS3MHjAfaf4tyq4i+mvDSuV
Pwat7O6V4S3svIClZx+am7X50hm0NWQGnHEnTMRtsKZXdKUDGVW5emd6Kl7HkwH8n0JeSwe5wEhT
7nHIBVC917xSLf7knhLjaC6aOb425RpS21qfIr+FDPaN6L1j7paHKM1XgFY2/n9Asok40dhmpVsA
erB7M0O1lqA6t2NvhpwJmvdOo63b87eiqPFWhe7LrV1qMEM+NbOYLmc+VtPLthxANZFZ7idpf7SA
tC51Z7zPq5nQ2a4a7mIrHO+EXYZrMl+JN2g7RESwyYntofsfzewdJ74brErVso67dAsf4y5ahJdb
2HcF8hE6+0RWty4SiNaT4WHArvXQgmfgaDSeXIq158YmiSs0SR0xlHtwuvgagXP54NhMpsLQS2lQ
zCj9DFJkApwsAFW3noj8Dd5GSe6kfpJzxuSb87sKZ8rKsnzWWE88OXFcbQlDZcMgNFqGqdzCiiFG
pOh2pYM5PGSW//kS+zV5qcWc56xT5UueG871+WJQXEG8XNkDuZAciBwbGEFXR8T+4t7tNPE0MbET
ZZg55JtxDkUAEbNrHz3rfiITzKnb++R0qfJFZVgokNzKWbawqktBIeFgps+iQNo4TaJfOdMsdi27
lV1aqQQVp5GguSH5RuVJQWFMJ1b0ZJJdNpbyNq6pu8Dt1257A9hwGoxh00yju6pBUjHwFB7m8chb
09917ByiJoG0vWufro1lk8xE6jgUd8xpo/exUczHJiGAj3U3FLG36fOhfkQawkG+IXnKaJvX3EFm
Yk3RvCyHkTr3DLGG4zX5FpX6zi9PKpjipQny8DD1pxq1eepuh5iJGZhPqu/aQ5AivUoraVwZInyY
ZsO9GXXnPE4t8z3GKPbpXN3TbEkyMavYjAaurf/wq35+Hh3OoHagiN05fYlAZO9o8qxGIIKFqYto
J0dh3ZaKShVLzNZlYZcfVNOqu2F4HQbR3c1NiJVBowbqgGAPnCXXqXA1dqop43TqV0sPdQmlzcH7
xBr7dTqY5pWMuzsmGky+JCY46NCLOnXgbsTpUY00ERR4InZDXzWroD8R2HFgXY/ny3gD6kPiNtSq
XkTIebbobXdOKs2bfIjbZT0U73I5UHpReOrZqQj8mZVzT+K9h0jqSmvlvFphiK64S8aHwa327A78
7RATMZjoNHmCDvRv4pOc3FM18cPsrT3Ltx4K6tvKGkwvVdGOaNWoToKFGyRoIVXZbSjHhOOXxWtc
hRx54uYmSwb6gcKovxIAKju36xfKkv4DuunkUqSRtT1/idirX7pYc+9mT+zHskCz1lPAmnrMFWWY
B9TMegVSSvjYlJkHbfbkcA1kEuYJH4lChc1x7J5zQ8YP0m2ao2aLbITyuXBMYtAchiI0is//On/P
6L2aAhu1cVsD+SSmK2qt/QMwSv88E2a9ppgVYZOoL4uxpkg21CwZlAOuMaN2UIjh9AfA6FEN9XiM
q2YARk8xADgIlrshr2/tRhK3l83qcm56+8nyEGtO2mk/cEsQY3GiX7rWe6rD8D5mqm8iewZfNNu7
bsZ+As3Csb0NaDywo9H78+SSlYmLQjsKMyKp0DyZBeId0Ljg0WrQTsvI2blRNt4oE7NZFDcn54DO
rjDZ0iBrimCXrjNlDfsk6wtSZ4k+bgm8c7vS+dAntrvWrfM6uCC/ostQvkgEWFVmGg9AyLRyzUX6
jHDxfQg5eV3MvMXAaZxAReQJ2jfCe9ZP5PYpNr4MuREYJVRBVo3R8Xwx6PBZhLPv7ugkq5azSyTT
ULrx/nyJOwiOKlIvZwQ3QmcpSIhfll33Jlkir6rwrmX12qbG2G0T8Ff49N5bBQ40szKMlYZpQ14t
cEFiZETNLvINSqxqUQU5pG5PF1OFcIcDHvWkXuu2GzMxwJ8sw944cF9bG9j3MiVffVFFPkcgmMmt
9yceNP++BeC6bDIvJ6bYbVYsaepS0/NBBM21fYKHK2uQi7P18P+m7eXzjZzKWFbnJIX77q2eHt6a
Lmub3//1yQF4+ini8oLW0P/uRd9/o1/efiTDAR6KTIOvMhzOf9P5D/7eW2QvLeLX17ffflXWhfSV
lB4ORUtQ1CJ//SXTRfj5x4YQ4sJxLKg224ZHck8+bX7hF2P0rVH4/g1+Gs7vv+arO/iou6I9/TeE
sS6+7MSRFvEIPzIGf3mHL8bAv7BNtmo2Hk7PFpQ5fj0Gvn9hCsxL2Oddiy4d52eNwctrHhdLDhx1
/LH9cgyU9fcioX/8JPgXJ7eqZxIvwdNg2dhV//YkuJ6U7LYdmoF+zmPwzSH4D3km/3gE3AtpW47j
C4+JpcTpJr8eAf+CKSAx4Ntk4VkKT/VPmQvfHIRTCMH/vCLwHNgOW30hme0uTVF/HQXngsVA+bZt
fuqI+uFB+IFVgwX29KqP2dtL/fu/AQAA//8=</cx:binary>
              </cx:geoCache>
            </cx:geography>
          </cx:layoutPr>
        </cx:series>
      </cx:plotAreaRegion>
    </cx:plotArea>
    <cx:legend pos="r" align="min" overlay="0"/>
  </cx:chart>
  <cx:spPr>
    <a:solidFill>
      <a:schemeClr val="bg1">
        <a:lumMod val="85000"/>
      </a:schemeClr>
    </a:solidFill>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val">
        <cx:f>_xlchart.v1.11</cx:f>
      </cx:numDim>
    </cx:data>
  </cx:chartData>
  <cx:chart>
    <cx:plotArea>
      <cx:plotAreaRegion>
        <cx:series layoutId="waterfall" uniqueId="{4DD846B9-191A-4D1A-A414-108EA6AB179A}">
          <cx:dataLabels pos="outEnd">
            <cx:visibility seriesName="0" categoryName="0" value="1"/>
          </cx:dataLabels>
          <cx:dataId val="0"/>
          <cx:layoutPr>
            <cx:subtotals>
              <cx:idx val="3"/>
            </cx:subtotals>
          </cx:layoutPr>
        </cx:series>
      </cx:plotAreaRegion>
      <cx:axis id="0">
        <cx:catScaling gapWidth="0.5"/>
        <cx:tickLabels/>
      </cx:axis>
      <cx:axis id="1" hidden="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chart" Target="../charts/chart3.xml"/><Relationship Id="rId18" Type="http://schemas.openxmlformats.org/officeDocument/2006/relationships/chart" Target="../charts/chart7.xml"/><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1.svg"/><Relationship Id="rId17" Type="http://schemas.microsoft.com/office/2014/relationships/chartEx" Target="../charts/chartEx2.xml"/><Relationship Id="rId2" Type="http://schemas.openxmlformats.org/officeDocument/2006/relationships/image" Target="../media/image3.svg"/><Relationship Id="rId16" Type="http://schemas.openxmlformats.org/officeDocument/2006/relationships/chart" Target="../charts/chart6.xml"/><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0.png"/><Relationship Id="rId5" Type="http://schemas.openxmlformats.org/officeDocument/2006/relationships/image" Target="../media/image6.png"/><Relationship Id="rId15" Type="http://schemas.openxmlformats.org/officeDocument/2006/relationships/chart" Target="../charts/chart5.xml"/><Relationship Id="rId10" Type="http://schemas.microsoft.com/office/2014/relationships/chartEx" Target="../charts/chartEx1.xml"/><Relationship Id="rId4" Type="http://schemas.openxmlformats.org/officeDocument/2006/relationships/image" Target="../media/image5.svg"/><Relationship Id="rId9" Type="http://schemas.openxmlformats.org/officeDocument/2006/relationships/chart" Target="../charts/chart2.xml"/><Relationship Id="rId1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microsoft.com/office/2014/relationships/chartEx" Target="../charts/chartEx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microsoft.com/office/2014/relationships/chartEx" Target="../charts/chartEx4.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21772</xdr:rowOff>
    </xdr:from>
    <xdr:to>
      <xdr:col>0</xdr:col>
      <xdr:colOff>32657</xdr:colOff>
      <xdr:row>1</xdr:row>
      <xdr:rowOff>76200</xdr:rowOff>
    </xdr:to>
    <xdr:sp macro="" textlink="">
      <xdr:nvSpPr>
        <xdr:cNvPr id="2" name="TextBox 1">
          <a:extLst>
            <a:ext uri="{FF2B5EF4-FFF2-40B4-BE49-F238E27FC236}">
              <a16:creationId xmlns:a16="http://schemas.microsoft.com/office/drawing/2014/main" id="{8A5B23E7-4A2D-4B72-829C-4586F3500007}"/>
            </a:ext>
          </a:extLst>
        </xdr:cNvPr>
        <xdr:cNvSpPr txBox="1"/>
      </xdr:nvSpPr>
      <xdr:spPr>
        <a:xfrm>
          <a:off x="0" y="206829"/>
          <a:ext cx="32657" cy="544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0</xdr:col>
      <xdr:colOff>1</xdr:colOff>
      <xdr:row>0</xdr:row>
      <xdr:rowOff>0</xdr:rowOff>
    </xdr:from>
    <xdr:to>
      <xdr:col>17</xdr:col>
      <xdr:colOff>381000</xdr:colOff>
      <xdr:row>41</xdr:row>
      <xdr:rowOff>95250</xdr:rowOff>
    </xdr:to>
    <xdr:sp macro="" textlink="">
      <xdr:nvSpPr>
        <xdr:cNvPr id="3" name="TextBox 2">
          <a:extLst>
            <a:ext uri="{FF2B5EF4-FFF2-40B4-BE49-F238E27FC236}">
              <a16:creationId xmlns:a16="http://schemas.microsoft.com/office/drawing/2014/main" id="{BA954AF0-5AD6-4CB4-9164-02074827E3C9}"/>
            </a:ext>
          </a:extLst>
        </xdr:cNvPr>
        <xdr:cNvSpPr txBox="1"/>
      </xdr:nvSpPr>
      <xdr:spPr>
        <a:xfrm>
          <a:off x="1" y="0"/>
          <a:ext cx="10744199" cy="7593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effectLst/>
              <a:latin typeface="+mn-lt"/>
              <a:ea typeface="+mn-ea"/>
              <a:cs typeface="+mn-cs"/>
            </a:rPr>
            <a:t>The data within</a:t>
          </a:r>
          <a:r>
            <a:rPr lang="en-US" sz="1600" baseline="0">
              <a:solidFill>
                <a:schemeClr val="bg1"/>
              </a:solidFill>
              <a:effectLst/>
              <a:latin typeface="+mn-lt"/>
              <a:ea typeface="+mn-ea"/>
              <a:cs typeface="+mn-cs"/>
            </a:rPr>
            <a:t> the 'Sales Data' tabl comes from the last 5 years of sales information from a buisness sales system. </a:t>
          </a:r>
        </a:p>
        <a:p>
          <a:endParaRPr lang="en-US" sz="1600">
            <a:solidFill>
              <a:schemeClr val="bg1"/>
            </a:solidFill>
            <a:effectLst/>
          </a:endParaRPr>
        </a:p>
        <a:p>
          <a:r>
            <a:rPr lang="en-US" sz="1600" u="sng" baseline="0">
              <a:solidFill>
                <a:schemeClr val="bg1"/>
              </a:solidFill>
              <a:effectLst/>
              <a:latin typeface="+mn-lt"/>
              <a:ea typeface="+mn-ea"/>
              <a:cs typeface="+mn-cs"/>
            </a:rPr>
            <a:t>Objective:</a:t>
          </a:r>
        </a:p>
        <a:p>
          <a:r>
            <a:rPr lang="en-US" sz="1600" u="none" baseline="0">
              <a:solidFill>
                <a:schemeClr val="bg1"/>
              </a:solidFill>
              <a:effectLst/>
              <a:latin typeface="+mn-lt"/>
              <a:ea typeface="+mn-ea"/>
              <a:cs typeface="+mn-cs"/>
            </a:rPr>
            <a:t>Analyze sales </a:t>
          </a:r>
          <a:r>
            <a:rPr lang="en-US" sz="1600" baseline="0">
              <a:solidFill>
                <a:schemeClr val="bg1"/>
              </a:solidFill>
              <a:effectLst/>
              <a:latin typeface="+mn-lt"/>
              <a:ea typeface="+mn-ea"/>
              <a:cs typeface="+mn-cs"/>
            </a:rPr>
            <a:t>data in preparation for an upcoming board meeting and prepare a dashboard which quickly shows the following information</a:t>
          </a:r>
        </a:p>
        <a:p>
          <a:endParaRPr lang="en-US" sz="1600">
            <a:solidFill>
              <a:schemeClr val="bg1"/>
            </a:solidFill>
            <a:effectLst/>
          </a:endParaRPr>
        </a:p>
        <a:p>
          <a:r>
            <a:rPr lang="en-US" sz="1600" baseline="0">
              <a:solidFill>
                <a:schemeClr val="bg1"/>
              </a:solidFill>
              <a:effectLst/>
              <a:latin typeface="+mn-lt"/>
              <a:ea typeface="+mn-ea"/>
              <a:cs typeface="+mn-cs"/>
            </a:rPr>
            <a:t>· Sales results.</a:t>
          </a:r>
          <a:endParaRPr lang="en-US" sz="1600">
            <a:solidFill>
              <a:schemeClr val="bg1"/>
            </a:solidFill>
            <a:effectLst/>
          </a:endParaRPr>
        </a:p>
        <a:p>
          <a:r>
            <a:rPr lang="en-US" sz="1600" baseline="0">
              <a:solidFill>
                <a:schemeClr val="bg1"/>
              </a:solidFill>
              <a:effectLst/>
              <a:latin typeface="+mn-lt"/>
              <a:ea typeface="+mn-ea"/>
              <a:cs typeface="+mn-cs"/>
            </a:rPr>
            <a:t>· Percentage of products that are faulty and have been returned.</a:t>
          </a:r>
          <a:endParaRPr lang="en-US" sz="1600">
            <a:solidFill>
              <a:schemeClr val="bg1"/>
            </a:solidFill>
            <a:effectLst/>
          </a:endParaRPr>
        </a:p>
        <a:p>
          <a:r>
            <a:rPr lang="en-US" sz="1600" baseline="0">
              <a:solidFill>
                <a:schemeClr val="bg1"/>
              </a:solidFill>
              <a:effectLst/>
              <a:latin typeface="+mn-lt"/>
              <a:ea typeface="+mn-ea"/>
              <a:cs typeface="+mn-cs"/>
            </a:rPr>
            <a:t>· Individual product's ratings.</a:t>
          </a:r>
          <a:endParaRPr lang="en-US" sz="1600">
            <a:solidFill>
              <a:schemeClr val="bg1"/>
            </a:solidFill>
            <a:effectLst/>
          </a:endParaRPr>
        </a:p>
        <a:p>
          <a:r>
            <a:rPr lang="en-US" sz="1600" baseline="0">
              <a:solidFill>
                <a:schemeClr val="bg1"/>
              </a:solidFill>
              <a:effectLst/>
              <a:latin typeface="+mn-lt"/>
              <a:ea typeface="+mn-ea"/>
              <a:cs typeface="+mn-cs"/>
            </a:rPr>
            <a:t>· Results from each sales channel.</a:t>
          </a:r>
        </a:p>
        <a:p>
          <a:endParaRPr lang="en-US" sz="1600">
            <a:solidFill>
              <a:schemeClr val="bg1"/>
            </a:solidFill>
            <a:effectLst/>
          </a:endParaRPr>
        </a:p>
        <a:p>
          <a:r>
            <a:rPr lang="en-US" sz="1600" baseline="0">
              <a:solidFill>
                <a:schemeClr val="bg1"/>
              </a:solidFill>
              <a:effectLst/>
              <a:latin typeface="+mn-lt"/>
              <a:ea typeface="+mn-ea"/>
              <a:cs typeface="+mn-cs"/>
            </a:rPr>
            <a:t>· We will also create the ability to select a breakdown for individual years, products, channels, and areas using slicers.</a:t>
          </a:r>
          <a:endParaRPr lang="en-US" sz="1600">
            <a:solidFill>
              <a:schemeClr val="bg1"/>
            </a:solidFill>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315685</xdr:colOff>
      <xdr:row>1</xdr:row>
      <xdr:rowOff>76199</xdr:rowOff>
    </xdr:from>
    <xdr:to>
      <xdr:col>17</xdr:col>
      <xdr:colOff>446314</xdr:colOff>
      <xdr:row>31</xdr:row>
      <xdr:rowOff>152399</xdr:rowOff>
    </xdr:to>
    <xdr:graphicFrame macro="">
      <xdr:nvGraphicFramePr>
        <xdr:cNvPr id="2" name="Chart 1">
          <a:extLst>
            <a:ext uri="{FF2B5EF4-FFF2-40B4-BE49-F238E27FC236}">
              <a16:creationId xmlns:a16="http://schemas.microsoft.com/office/drawing/2014/main" id="{1014C0CD-A251-4EC8-9315-AEF0B5E621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21771</xdr:colOff>
      <xdr:row>5</xdr:row>
      <xdr:rowOff>185056</xdr:rowOff>
    </xdr:to>
    <xdr:sp macro="" textlink="">
      <xdr:nvSpPr>
        <xdr:cNvPr id="4" name="TextBox 3">
          <a:extLst>
            <a:ext uri="{FF2B5EF4-FFF2-40B4-BE49-F238E27FC236}">
              <a16:creationId xmlns:a16="http://schemas.microsoft.com/office/drawing/2014/main" id="{C8A4041C-4EC5-459F-890E-0A9A6B358FB5}"/>
            </a:ext>
          </a:extLst>
        </xdr:cNvPr>
        <xdr:cNvSpPr txBox="1"/>
      </xdr:nvSpPr>
      <xdr:spPr>
        <a:xfrm>
          <a:off x="0" y="0"/>
          <a:ext cx="15261771" cy="1088570"/>
        </a:xfrm>
        <a:prstGeom prst="rect">
          <a:avLst/>
        </a:prstGeom>
        <a:gradFill>
          <a:gsLst>
            <a:gs pos="0">
              <a:srgbClr val="1A046C"/>
            </a:gs>
            <a:gs pos="100000">
              <a:srgbClr val="3B10A8"/>
            </a:gs>
          </a:gsLst>
          <a:lin ang="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127236</xdr:colOff>
      <xdr:row>41</xdr:row>
      <xdr:rowOff>22719</xdr:rowOff>
    </xdr:from>
    <xdr:to>
      <xdr:col>24</xdr:col>
      <xdr:colOff>157171</xdr:colOff>
      <xdr:row>47</xdr:row>
      <xdr:rowOff>134472</xdr:rowOff>
    </xdr:to>
    <xdr:sp macro="" textlink="">
      <xdr:nvSpPr>
        <xdr:cNvPr id="5" name="Rectangle 4">
          <a:extLst>
            <a:ext uri="{FF2B5EF4-FFF2-40B4-BE49-F238E27FC236}">
              <a16:creationId xmlns:a16="http://schemas.microsoft.com/office/drawing/2014/main" id="{3F997E3C-C6B8-4B30-AF14-A076A3FCB1A4}"/>
            </a:ext>
          </a:extLst>
        </xdr:cNvPr>
        <xdr:cNvSpPr/>
      </xdr:nvSpPr>
      <xdr:spPr>
        <a:xfrm>
          <a:off x="736836" y="7446776"/>
          <a:ext cx="14050735" cy="1222096"/>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53788</xdr:colOff>
      <xdr:row>6</xdr:row>
      <xdr:rowOff>56234</xdr:rowOff>
    </xdr:from>
    <xdr:to>
      <xdr:col>24</xdr:col>
      <xdr:colOff>151759</xdr:colOff>
      <xdr:row>38</xdr:row>
      <xdr:rowOff>136392</xdr:rowOff>
    </xdr:to>
    <xdr:grpSp>
      <xdr:nvGrpSpPr>
        <xdr:cNvPr id="14" name="Group 13">
          <a:extLst>
            <a:ext uri="{FF2B5EF4-FFF2-40B4-BE49-F238E27FC236}">
              <a16:creationId xmlns:a16="http://schemas.microsoft.com/office/drawing/2014/main" id="{8258DF76-B102-4F6C-9D9E-A4D4ECCD1454}"/>
            </a:ext>
          </a:extLst>
        </xdr:cNvPr>
        <xdr:cNvGrpSpPr/>
      </xdr:nvGrpSpPr>
      <xdr:grpSpPr>
        <a:xfrm>
          <a:off x="663388" y="1144805"/>
          <a:ext cx="14118771" cy="5860473"/>
          <a:chOff x="3657600" y="1171699"/>
          <a:chExt cx="14001750" cy="5942863"/>
        </a:xfrm>
      </xdr:grpSpPr>
      <xdr:sp macro="" textlink="">
        <xdr:nvSpPr>
          <xdr:cNvPr id="7" name="Rectangle 6">
            <a:extLst>
              <a:ext uri="{FF2B5EF4-FFF2-40B4-BE49-F238E27FC236}">
                <a16:creationId xmlns:a16="http://schemas.microsoft.com/office/drawing/2014/main" id="{CE1547A5-65C9-4FDD-A0E4-9DA210C6F110}"/>
              </a:ext>
            </a:extLst>
          </xdr:cNvPr>
          <xdr:cNvSpPr/>
        </xdr:nvSpPr>
        <xdr:spPr>
          <a:xfrm>
            <a:off x="12358766" y="1171699"/>
            <a:ext cx="5300584" cy="5933952"/>
          </a:xfrm>
          <a:prstGeom prst="rect">
            <a:avLst/>
          </a:prstGeom>
          <a:gradFill>
            <a:gsLst>
              <a:gs pos="0">
                <a:srgbClr val="1A046C"/>
              </a:gs>
              <a:gs pos="94000">
                <a:srgbClr val="3B10A8">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F1564D27-5F1E-4B2D-B9B3-0FA390716830}"/>
              </a:ext>
            </a:extLst>
          </xdr:cNvPr>
          <xdr:cNvSpPr/>
        </xdr:nvSpPr>
        <xdr:spPr>
          <a:xfrm>
            <a:off x="3657600" y="1175657"/>
            <a:ext cx="8580120" cy="2938341"/>
          </a:xfrm>
          <a:prstGeom prst="rect">
            <a:avLst/>
          </a:prstGeom>
          <a:gradFill>
            <a:gsLst>
              <a:gs pos="0">
                <a:srgbClr val="1A046C"/>
              </a:gs>
              <a:gs pos="94000">
                <a:srgbClr val="3B10A8">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16A8806D-8A2A-444B-A985-DC76A393CE30}"/>
              </a:ext>
            </a:extLst>
          </xdr:cNvPr>
          <xdr:cNvSpPr/>
        </xdr:nvSpPr>
        <xdr:spPr>
          <a:xfrm>
            <a:off x="3657600" y="4226212"/>
            <a:ext cx="4207650" cy="2888350"/>
          </a:xfrm>
          <a:prstGeom prst="rect">
            <a:avLst/>
          </a:prstGeom>
          <a:gradFill>
            <a:gsLst>
              <a:gs pos="0">
                <a:srgbClr val="1A046C"/>
              </a:gs>
              <a:gs pos="94000">
                <a:srgbClr val="3B10A8">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AD30A485-7C68-40D8-A0C7-6A6EAF9C4DAA}"/>
              </a:ext>
            </a:extLst>
          </xdr:cNvPr>
          <xdr:cNvSpPr/>
        </xdr:nvSpPr>
        <xdr:spPr>
          <a:xfrm>
            <a:off x="8040570" y="4225928"/>
            <a:ext cx="4208217" cy="2882905"/>
          </a:xfrm>
          <a:prstGeom prst="rect">
            <a:avLst/>
          </a:prstGeom>
          <a:gradFill>
            <a:gsLst>
              <a:gs pos="0">
                <a:srgbClr val="1A046C"/>
              </a:gs>
              <a:gs pos="94000">
                <a:srgbClr val="3B10A8">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429487</xdr:colOff>
      <xdr:row>0</xdr:row>
      <xdr:rowOff>141513</xdr:rowOff>
    </xdr:from>
    <xdr:to>
      <xdr:col>17</xdr:col>
      <xdr:colOff>19046</xdr:colOff>
      <xdr:row>4</xdr:row>
      <xdr:rowOff>113804</xdr:rowOff>
    </xdr:to>
    <xdr:sp macro="" textlink="">
      <xdr:nvSpPr>
        <xdr:cNvPr id="18" name="TextBox 17">
          <a:extLst>
            <a:ext uri="{FF2B5EF4-FFF2-40B4-BE49-F238E27FC236}">
              <a16:creationId xmlns:a16="http://schemas.microsoft.com/office/drawing/2014/main" id="{4BA46723-5EE9-434C-97B6-24629A3C190A}"/>
            </a:ext>
          </a:extLst>
        </xdr:cNvPr>
        <xdr:cNvSpPr txBox="1"/>
      </xdr:nvSpPr>
      <xdr:spPr>
        <a:xfrm>
          <a:off x="5915887" y="141513"/>
          <a:ext cx="7514359" cy="690748"/>
        </a:xfrm>
        <a:prstGeom prst="rect">
          <a:avLst/>
        </a:prstGeom>
        <a:gradFill>
          <a:gsLst>
            <a:gs pos="26000">
              <a:srgbClr val="1A046C"/>
            </a:gs>
            <a:gs pos="100000">
              <a:srgbClr val="3B10A8"/>
            </a:gs>
          </a:gsLst>
          <a:lin ang="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a:solidFill>
                <a:schemeClr val="bg1"/>
              </a:solidFill>
            </a:rPr>
            <a:t>SALES</a:t>
          </a:r>
          <a:r>
            <a:rPr lang="en-US" sz="2800" baseline="0">
              <a:solidFill>
                <a:schemeClr val="bg1"/>
              </a:solidFill>
            </a:rPr>
            <a:t> DASHBOARD</a:t>
          </a:r>
          <a:endParaRPr lang="en-US" sz="2800">
            <a:solidFill>
              <a:schemeClr val="bg1"/>
            </a:solidFill>
          </a:endParaRPr>
        </a:p>
      </xdr:txBody>
    </xdr:sp>
    <xdr:clientData/>
  </xdr:twoCellAnchor>
  <xdr:twoCellAnchor>
    <xdr:from>
      <xdr:col>1</xdr:col>
      <xdr:colOff>68581</xdr:colOff>
      <xdr:row>6</xdr:row>
      <xdr:rowOff>116541</xdr:rowOff>
    </xdr:from>
    <xdr:to>
      <xdr:col>3</xdr:col>
      <xdr:colOff>540329</xdr:colOff>
      <xdr:row>9</xdr:row>
      <xdr:rowOff>0</xdr:rowOff>
    </xdr:to>
    <xdr:sp macro="" textlink="">
      <xdr:nvSpPr>
        <xdr:cNvPr id="19" name="Rectangle: Rounded Corners 18">
          <a:extLst>
            <a:ext uri="{FF2B5EF4-FFF2-40B4-BE49-F238E27FC236}">
              <a16:creationId xmlns:a16="http://schemas.microsoft.com/office/drawing/2014/main" id="{6A9B8F5D-2104-4CE3-9DBE-8F608F473F20}"/>
            </a:ext>
          </a:extLst>
        </xdr:cNvPr>
        <xdr:cNvSpPr/>
      </xdr:nvSpPr>
      <xdr:spPr>
        <a:xfrm>
          <a:off x="3726181" y="1190961"/>
          <a:ext cx="1690948" cy="432099"/>
        </a:xfrm>
        <a:prstGeom prst="roundRect">
          <a:avLst>
            <a:gd name="adj" fmla="val 50000"/>
          </a:avLst>
        </a:prstGeom>
        <a:solidFill>
          <a:schemeClr val="accent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76199</xdr:colOff>
      <xdr:row>22</xdr:row>
      <xdr:rowOff>144074</xdr:rowOff>
    </xdr:from>
    <xdr:to>
      <xdr:col>3</xdr:col>
      <xdr:colOff>511628</xdr:colOff>
      <xdr:row>25</xdr:row>
      <xdr:rowOff>119742</xdr:rowOff>
    </xdr:to>
    <xdr:sp macro="" textlink="">
      <xdr:nvSpPr>
        <xdr:cNvPr id="20" name="Rectangle: Rounded Corners 19">
          <a:extLst>
            <a:ext uri="{FF2B5EF4-FFF2-40B4-BE49-F238E27FC236}">
              <a16:creationId xmlns:a16="http://schemas.microsoft.com/office/drawing/2014/main" id="{BF098E2D-125F-419D-951B-08E82C44678E}"/>
            </a:ext>
          </a:extLst>
        </xdr:cNvPr>
        <xdr:cNvSpPr/>
      </xdr:nvSpPr>
      <xdr:spPr>
        <a:xfrm>
          <a:off x="685799" y="4193560"/>
          <a:ext cx="1654629" cy="530839"/>
        </a:xfrm>
        <a:prstGeom prst="roundRect">
          <a:avLst>
            <a:gd name="adj" fmla="val 50000"/>
          </a:avLst>
        </a:prstGeom>
        <a:solidFill>
          <a:schemeClr val="accent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202869</xdr:colOff>
      <xdr:row>22</xdr:row>
      <xdr:rowOff>130629</xdr:rowOff>
    </xdr:from>
    <xdr:to>
      <xdr:col>11</xdr:col>
      <xdr:colOff>54428</xdr:colOff>
      <xdr:row>25</xdr:row>
      <xdr:rowOff>0</xdr:rowOff>
    </xdr:to>
    <xdr:sp macro="" textlink="">
      <xdr:nvSpPr>
        <xdr:cNvPr id="21" name="Rectangle: Rounded Corners 20">
          <a:extLst>
            <a:ext uri="{FF2B5EF4-FFF2-40B4-BE49-F238E27FC236}">
              <a16:creationId xmlns:a16="http://schemas.microsoft.com/office/drawing/2014/main" id="{4EACEE70-AE26-43C5-B32C-0ED0CE30974C}"/>
            </a:ext>
          </a:extLst>
        </xdr:cNvPr>
        <xdr:cNvSpPr/>
      </xdr:nvSpPr>
      <xdr:spPr>
        <a:xfrm>
          <a:off x="5079669" y="4180115"/>
          <a:ext cx="1680359" cy="424542"/>
        </a:xfrm>
        <a:prstGeom prst="roundRect">
          <a:avLst>
            <a:gd name="adj" fmla="val 50000"/>
          </a:avLst>
        </a:prstGeom>
        <a:solidFill>
          <a:schemeClr val="accent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322728</xdr:colOff>
      <xdr:row>6</xdr:row>
      <xdr:rowOff>107578</xdr:rowOff>
    </xdr:from>
    <xdr:to>
      <xdr:col>18</xdr:col>
      <xdr:colOff>259975</xdr:colOff>
      <xdr:row>8</xdr:row>
      <xdr:rowOff>134470</xdr:rowOff>
    </xdr:to>
    <xdr:sp macro="" textlink="">
      <xdr:nvSpPr>
        <xdr:cNvPr id="22" name="Rectangle: Rounded Corners 21">
          <a:extLst>
            <a:ext uri="{FF2B5EF4-FFF2-40B4-BE49-F238E27FC236}">
              <a16:creationId xmlns:a16="http://schemas.microsoft.com/office/drawing/2014/main" id="{CD915905-D591-4B21-929B-4FF57C5FDB20}"/>
            </a:ext>
          </a:extLst>
        </xdr:cNvPr>
        <xdr:cNvSpPr/>
      </xdr:nvSpPr>
      <xdr:spPr>
        <a:xfrm>
          <a:off x="9466728" y="1165413"/>
          <a:ext cx="1766047" cy="385481"/>
        </a:xfrm>
        <a:prstGeom prst="roundRect">
          <a:avLst>
            <a:gd name="adj" fmla="val 50000"/>
          </a:avLst>
        </a:prstGeom>
        <a:solidFill>
          <a:schemeClr val="accent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6</xdr:row>
      <xdr:rowOff>84682</xdr:rowOff>
    </xdr:from>
    <xdr:to>
      <xdr:col>2</xdr:col>
      <xdr:colOff>589750</xdr:colOff>
      <xdr:row>7</xdr:row>
      <xdr:rowOff>106628</xdr:rowOff>
    </xdr:to>
    <xdr:sp macro="" textlink="">
      <xdr:nvSpPr>
        <xdr:cNvPr id="23" name="TextBox 22">
          <a:extLst>
            <a:ext uri="{FF2B5EF4-FFF2-40B4-BE49-F238E27FC236}">
              <a16:creationId xmlns:a16="http://schemas.microsoft.com/office/drawing/2014/main" id="{63D0E3C8-C2A2-421D-863B-EAAE2DB08AAB}"/>
            </a:ext>
          </a:extLst>
        </xdr:cNvPr>
        <xdr:cNvSpPr txBox="1"/>
      </xdr:nvSpPr>
      <xdr:spPr>
        <a:xfrm>
          <a:off x="3623895" y="1159102"/>
          <a:ext cx="1233055" cy="2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rPr>
            <a:t>Sales Results</a:t>
          </a:r>
        </a:p>
      </xdr:txBody>
    </xdr:sp>
    <xdr:clientData/>
  </xdr:twoCellAnchor>
  <xdr:twoCellAnchor>
    <xdr:from>
      <xdr:col>1</xdr:col>
      <xdr:colOff>80263</xdr:colOff>
      <xdr:row>22</xdr:row>
      <xdr:rowOff>130291</xdr:rowOff>
    </xdr:from>
    <xdr:to>
      <xdr:col>2</xdr:col>
      <xdr:colOff>525780</xdr:colOff>
      <xdr:row>24</xdr:row>
      <xdr:rowOff>1</xdr:rowOff>
    </xdr:to>
    <xdr:sp macro="" textlink="">
      <xdr:nvSpPr>
        <xdr:cNvPr id="29" name="TextBox 28">
          <a:extLst>
            <a:ext uri="{FF2B5EF4-FFF2-40B4-BE49-F238E27FC236}">
              <a16:creationId xmlns:a16="http://schemas.microsoft.com/office/drawing/2014/main" id="{18A0A5FF-161A-45EC-9F86-F345EA57274D}"/>
            </a:ext>
          </a:extLst>
        </xdr:cNvPr>
        <xdr:cNvSpPr txBox="1"/>
      </xdr:nvSpPr>
      <xdr:spPr>
        <a:xfrm>
          <a:off x="3737863" y="4130791"/>
          <a:ext cx="1055117" cy="235470"/>
        </a:xfrm>
        <a:prstGeom prst="rect">
          <a:avLst/>
        </a:prstGeom>
        <a:noFill/>
        <a:ln w="9525" cmpd="sng">
          <a:noFill/>
        </a:ln>
        <a:effectLst>
          <a:outerShdw blurRad="50800" dist="50800" dir="5400000" algn="ctr" rotWithShape="0">
            <a:srgbClr val="000000">
              <a:alpha val="19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mn-lt"/>
              <a:ea typeface="+mn-ea"/>
              <a:cs typeface="+mn-cs"/>
            </a:rPr>
            <a:t>Sales Channel</a:t>
          </a:r>
        </a:p>
      </xdr:txBody>
    </xdr:sp>
    <xdr:clientData/>
  </xdr:twoCellAnchor>
  <xdr:twoCellAnchor>
    <xdr:from>
      <xdr:col>8</xdr:col>
      <xdr:colOff>117565</xdr:colOff>
      <xdr:row>22</xdr:row>
      <xdr:rowOff>104503</xdr:rowOff>
    </xdr:from>
    <xdr:to>
      <xdr:col>10</xdr:col>
      <xdr:colOff>150223</xdr:colOff>
      <xdr:row>23</xdr:row>
      <xdr:rowOff>152400</xdr:rowOff>
    </xdr:to>
    <xdr:sp macro="" textlink="">
      <xdr:nvSpPr>
        <xdr:cNvPr id="30" name="TextBox 29">
          <a:extLst>
            <a:ext uri="{FF2B5EF4-FFF2-40B4-BE49-F238E27FC236}">
              <a16:creationId xmlns:a16="http://schemas.microsoft.com/office/drawing/2014/main" id="{086D2470-57BF-46A9-B8AB-5519E2DD2C82}"/>
            </a:ext>
          </a:extLst>
        </xdr:cNvPr>
        <xdr:cNvSpPr txBox="1"/>
      </xdr:nvSpPr>
      <xdr:spPr>
        <a:xfrm>
          <a:off x="8042365" y="4105003"/>
          <a:ext cx="1251858" cy="230777"/>
        </a:xfrm>
        <a:prstGeom prst="rect">
          <a:avLst/>
        </a:prstGeom>
        <a:noFill/>
        <a:ln w="9525" cmpd="sng">
          <a:noFill/>
        </a:ln>
        <a:effectLst>
          <a:outerShdw blurRad="50800" dist="50800" dir="5400000" algn="ctr" rotWithShape="0">
            <a:srgbClr val="000000">
              <a:alpha val="19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mn-lt"/>
              <a:ea typeface="+mn-ea"/>
              <a:cs typeface="+mn-cs"/>
            </a:rPr>
            <a:t>Product Returns</a:t>
          </a:r>
        </a:p>
      </xdr:txBody>
    </xdr:sp>
    <xdr:clientData/>
  </xdr:twoCellAnchor>
  <xdr:twoCellAnchor>
    <xdr:from>
      <xdr:col>15</xdr:col>
      <xdr:colOff>275983</xdr:colOff>
      <xdr:row>6</xdr:row>
      <xdr:rowOff>131153</xdr:rowOff>
    </xdr:from>
    <xdr:to>
      <xdr:col>17</xdr:col>
      <xdr:colOff>268363</xdr:colOff>
      <xdr:row>8</xdr:row>
      <xdr:rowOff>85432</xdr:rowOff>
    </xdr:to>
    <xdr:sp macro="" textlink="">
      <xdr:nvSpPr>
        <xdr:cNvPr id="31" name="TextBox 30">
          <a:extLst>
            <a:ext uri="{FF2B5EF4-FFF2-40B4-BE49-F238E27FC236}">
              <a16:creationId xmlns:a16="http://schemas.microsoft.com/office/drawing/2014/main" id="{37E942BE-F69A-43EC-9312-FC87D287E54C}"/>
            </a:ext>
          </a:extLst>
        </xdr:cNvPr>
        <xdr:cNvSpPr txBox="1"/>
      </xdr:nvSpPr>
      <xdr:spPr>
        <a:xfrm>
          <a:off x="12467983" y="1219724"/>
          <a:ext cx="1211580" cy="324394"/>
        </a:xfrm>
        <a:prstGeom prst="rect">
          <a:avLst/>
        </a:prstGeom>
        <a:noFill/>
        <a:ln w="9525" cmpd="sng">
          <a:noFill/>
        </a:ln>
        <a:effectLst>
          <a:outerShdw blurRad="50800" dist="50800" dir="5400000" algn="ctr" rotWithShape="0">
            <a:srgbClr val="000000">
              <a:alpha val="19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mn-lt"/>
              <a:ea typeface="+mn-ea"/>
              <a:cs typeface="+mn-cs"/>
            </a:rPr>
            <a:t>Product</a:t>
          </a:r>
          <a:r>
            <a:rPr lang="en-US" sz="1200" baseline="0">
              <a:solidFill>
                <a:schemeClr val="bg1"/>
              </a:solidFill>
              <a:latin typeface="+mn-lt"/>
              <a:ea typeface="+mn-ea"/>
              <a:cs typeface="+mn-cs"/>
            </a:rPr>
            <a:t> Ratings</a:t>
          </a:r>
          <a:endParaRPr lang="en-US" sz="1200">
            <a:solidFill>
              <a:schemeClr val="bg1"/>
            </a:solidFill>
            <a:latin typeface="+mn-lt"/>
            <a:ea typeface="+mn-ea"/>
            <a:cs typeface="+mn-cs"/>
          </a:endParaRPr>
        </a:p>
      </xdr:txBody>
    </xdr:sp>
    <xdr:clientData/>
  </xdr:twoCellAnchor>
  <xdr:twoCellAnchor editAs="oneCell">
    <xdr:from>
      <xdr:col>2</xdr:col>
      <xdr:colOff>433188</xdr:colOff>
      <xdr:row>6</xdr:row>
      <xdr:rowOff>75752</xdr:rowOff>
    </xdr:from>
    <xdr:to>
      <xdr:col>3</xdr:col>
      <xdr:colOff>335280</xdr:colOff>
      <xdr:row>8</xdr:row>
      <xdr:rowOff>171546</xdr:rowOff>
    </xdr:to>
    <xdr:pic>
      <xdr:nvPicPr>
        <xdr:cNvPr id="33" name="Graphic 32" descr="Business Growth outline">
          <a:extLst>
            <a:ext uri="{FF2B5EF4-FFF2-40B4-BE49-F238E27FC236}">
              <a16:creationId xmlns:a16="http://schemas.microsoft.com/office/drawing/2014/main" id="{873B6A2B-E87B-4E10-A52A-B6D904F2D73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52388" y="1150172"/>
          <a:ext cx="511692" cy="461554"/>
        </a:xfrm>
        <a:prstGeom prst="rect">
          <a:avLst/>
        </a:prstGeom>
      </xdr:spPr>
    </xdr:pic>
    <xdr:clientData/>
  </xdr:twoCellAnchor>
  <xdr:twoCellAnchor editAs="oneCell">
    <xdr:from>
      <xdr:col>2</xdr:col>
      <xdr:colOff>489856</xdr:colOff>
      <xdr:row>23</xdr:row>
      <xdr:rowOff>2893</xdr:rowOff>
    </xdr:from>
    <xdr:to>
      <xdr:col>3</xdr:col>
      <xdr:colOff>329943</xdr:colOff>
      <xdr:row>25</xdr:row>
      <xdr:rowOff>76200</xdr:rowOff>
    </xdr:to>
    <xdr:pic>
      <xdr:nvPicPr>
        <xdr:cNvPr id="35" name="Graphic 34" descr="Ecommerce with solid fill">
          <a:extLst>
            <a:ext uri="{FF2B5EF4-FFF2-40B4-BE49-F238E27FC236}">
              <a16:creationId xmlns:a16="http://schemas.microsoft.com/office/drawing/2014/main" id="{A9B89265-F71C-4E0E-9B65-4E9B0CA2F68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09056" y="4237436"/>
          <a:ext cx="449687" cy="443421"/>
        </a:xfrm>
        <a:prstGeom prst="rect">
          <a:avLst/>
        </a:prstGeom>
      </xdr:spPr>
    </xdr:pic>
    <xdr:clientData/>
  </xdr:twoCellAnchor>
  <xdr:twoCellAnchor editAs="oneCell">
    <xdr:from>
      <xdr:col>17</xdr:col>
      <xdr:colOff>261643</xdr:colOff>
      <xdr:row>6</xdr:row>
      <xdr:rowOff>35221</xdr:rowOff>
    </xdr:from>
    <xdr:to>
      <xdr:col>18</xdr:col>
      <xdr:colOff>94132</xdr:colOff>
      <xdr:row>8</xdr:row>
      <xdr:rowOff>107576</xdr:rowOff>
    </xdr:to>
    <xdr:pic>
      <xdr:nvPicPr>
        <xdr:cNvPr id="37" name="Graphic 36" descr="Rating 3 Star with solid fill">
          <a:extLst>
            <a:ext uri="{FF2B5EF4-FFF2-40B4-BE49-F238E27FC236}">
              <a16:creationId xmlns:a16="http://schemas.microsoft.com/office/drawing/2014/main" id="{E6E78A08-3725-4F4E-B59B-88CB4C2A477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624843" y="1093056"/>
          <a:ext cx="442089" cy="430944"/>
        </a:xfrm>
        <a:prstGeom prst="rect">
          <a:avLst/>
        </a:prstGeom>
      </xdr:spPr>
    </xdr:pic>
    <xdr:clientData/>
  </xdr:twoCellAnchor>
  <xdr:twoCellAnchor editAs="oneCell">
    <xdr:from>
      <xdr:col>10</xdr:col>
      <xdr:colOff>31569</xdr:colOff>
      <xdr:row>22</xdr:row>
      <xdr:rowOff>130628</xdr:rowOff>
    </xdr:from>
    <xdr:to>
      <xdr:col>10</xdr:col>
      <xdr:colOff>489856</xdr:colOff>
      <xdr:row>25</xdr:row>
      <xdr:rowOff>33744</xdr:rowOff>
    </xdr:to>
    <xdr:pic>
      <xdr:nvPicPr>
        <xdr:cNvPr id="39" name="Graphic 38" descr="Return with solid fill">
          <a:extLst>
            <a:ext uri="{FF2B5EF4-FFF2-40B4-BE49-F238E27FC236}">
              <a16:creationId xmlns:a16="http://schemas.microsoft.com/office/drawing/2014/main" id="{57B613BA-5554-4C92-AC71-98776FE64AE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127569" y="4180114"/>
          <a:ext cx="458287" cy="458287"/>
        </a:xfrm>
        <a:prstGeom prst="rect">
          <a:avLst/>
        </a:prstGeom>
      </xdr:spPr>
    </xdr:pic>
    <xdr:clientData/>
  </xdr:twoCellAnchor>
  <xdr:twoCellAnchor>
    <xdr:from>
      <xdr:col>4</xdr:col>
      <xdr:colOff>283030</xdr:colOff>
      <xdr:row>6</xdr:row>
      <xdr:rowOff>119744</xdr:rowOff>
    </xdr:from>
    <xdr:to>
      <xdr:col>15</xdr:col>
      <xdr:colOff>76200</xdr:colOff>
      <xdr:row>21</xdr:row>
      <xdr:rowOff>163286</xdr:rowOff>
    </xdr:to>
    <xdr:graphicFrame macro="">
      <xdr:nvGraphicFramePr>
        <xdr:cNvPr id="40" name="Chart 39">
          <a:extLst>
            <a:ext uri="{FF2B5EF4-FFF2-40B4-BE49-F238E27FC236}">
              <a16:creationId xmlns:a16="http://schemas.microsoft.com/office/drawing/2014/main" id="{113C0141-1F28-4E39-9D10-FDAE44506F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91440</xdr:colOff>
      <xdr:row>9</xdr:row>
      <xdr:rowOff>30481</xdr:rowOff>
    </xdr:from>
    <xdr:to>
      <xdr:col>4</xdr:col>
      <xdr:colOff>399569</xdr:colOff>
      <xdr:row>21</xdr:row>
      <xdr:rowOff>99255</xdr:rowOff>
    </xdr:to>
    <mc:AlternateContent xmlns:mc="http://schemas.openxmlformats.org/markup-compatibility/2006">
      <mc:Choice xmlns:cx4="http://schemas.microsoft.com/office/drawing/2016/5/10/chartex" Requires="cx4">
        <xdr:graphicFrame macro="">
          <xdr:nvGraphicFramePr>
            <xdr:cNvPr id="41" name="Chart 40">
              <a:extLst>
                <a:ext uri="{FF2B5EF4-FFF2-40B4-BE49-F238E27FC236}">
                  <a16:creationId xmlns:a16="http://schemas.microsoft.com/office/drawing/2014/main" id="{D97F29A6-350E-48A5-9EF5-B1ED585B168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701040" y="1653541"/>
              <a:ext cx="2136929" cy="226333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368138</xdr:colOff>
      <xdr:row>6</xdr:row>
      <xdr:rowOff>165765</xdr:rowOff>
    </xdr:from>
    <xdr:to>
      <xdr:col>13</xdr:col>
      <xdr:colOff>152399</xdr:colOff>
      <xdr:row>9</xdr:row>
      <xdr:rowOff>2237</xdr:rowOff>
    </xdr:to>
    <xdr:grpSp>
      <xdr:nvGrpSpPr>
        <xdr:cNvPr id="44" name="Group 43">
          <a:extLst>
            <a:ext uri="{FF2B5EF4-FFF2-40B4-BE49-F238E27FC236}">
              <a16:creationId xmlns:a16="http://schemas.microsoft.com/office/drawing/2014/main" id="{AF8E0DA0-4CE5-4067-86FC-22C88299A813}"/>
            </a:ext>
          </a:extLst>
        </xdr:cNvPr>
        <xdr:cNvGrpSpPr/>
      </xdr:nvGrpSpPr>
      <xdr:grpSpPr>
        <a:xfrm>
          <a:off x="5854538" y="1254336"/>
          <a:ext cx="2222661" cy="391644"/>
          <a:chOff x="8271165" y="1254824"/>
          <a:chExt cx="2139150" cy="599517"/>
        </a:xfrm>
      </xdr:grpSpPr>
      <xdr:sp macro="" textlink="'Top Sales Emp'!$E$5">
        <xdr:nvSpPr>
          <xdr:cNvPr id="42" name="TextBox 41">
            <a:extLst>
              <a:ext uri="{FF2B5EF4-FFF2-40B4-BE49-F238E27FC236}">
                <a16:creationId xmlns:a16="http://schemas.microsoft.com/office/drawing/2014/main" id="{291F4FC6-4BAB-4E2D-99E7-58C7E841658C}"/>
              </a:ext>
            </a:extLst>
          </xdr:cNvPr>
          <xdr:cNvSpPr txBox="1"/>
        </xdr:nvSpPr>
        <xdr:spPr>
          <a:xfrm>
            <a:off x="9184539" y="1257608"/>
            <a:ext cx="1225776" cy="5967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2C232B7-8195-4887-BFF7-0CD8E5EB28AF}" type="TxLink">
              <a:rPr lang="en-US" sz="1800" b="0" i="0" u="none" strike="noStrike">
                <a:solidFill>
                  <a:schemeClr val="bg1"/>
                </a:solidFill>
                <a:latin typeface="Calibri"/>
                <a:cs typeface="Calibri"/>
              </a:rPr>
              <a:pPr/>
              <a:t>$13,375</a:t>
            </a:fld>
            <a:endParaRPr lang="en-US" sz="1800">
              <a:solidFill>
                <a:schemeClr val="bg1"/>
              </a:solidFill>
            </a:endParaRPr>
          </a:p>
        </xdr:txBody>
      </xdr:sp>
      <xdr:sp macro="" textlink="'Top Sales Emp'!$D$5">
        <xdr:nvSpPr>
          <xdr:cNvPr id="43" name="TextBox 42">
            <a:extLst>
              <a:ext uri="{FF2B5EF4-FFF2-40B4-BE49-F238E27FC236}">
                <a16:creationId xmlns:a16="http://schemas.microsoft.com/office/drawing/2014/main" id="{A3769584-A22E-438B-BEDC-A116CA455F73}"/>
              </a:ext>
            </a:extLst>
          </xdr:cNvPr>
          <xdr:cNvSpPr txBox="1"/>
        </xdr:nvSpPr>
        <xdr:spPr>
          <a:xfrm>
            <a:off x="8271165" y="1254824"/>
            <a:ext cx="1028620" cy="5878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414EB5-5251-422D-B0FB-265481B00C5A}" type="TxLink">
              <a:rPr lang="en-US" sz="1800" b="0" i="0" u="none" strike="noStrike">
                <a:solidFill>
                  <a:schemeClr val="bg1"/>
                </a:solidFill>
                <a:latin typeface="Calibri"/>
                <a:cs typeface="Calibri"/>
              </a:rPr>
              <a:pPr/>
              <a:t>Nicholas</a:t>
            </a:fld>
            <a:endParaRPr lang="en-US" sz="1800">
              <a:solidFill>
                <a:schemeClr val="bg1"/>
              </a:solidFill>
            </a:endParaRPr>
          </a:p>
        </xdr:txBody>
      </xdr:sp>
    </xdr:grpSp>
    <xdr:clientData/>
  </xdr:twoCellAnchor>
  <xdr:twoCellAnchor>
    <xdr:from>
      <xdr:col>9</xdr:col>
      <xdr:colOff>333556</xdr:colOff>
      <xdr:row>6</xdr:row>
      <xdr:rowOff>156883</xdr:rowOff>
    </xdr:from>
    <xdr:to>
      <xdr:col>13</xdr:col>
      <xdr:colOff>485957</xdr:colOff>
      <xdr:row>10</xdr:row>
      <xdr:rowOff>30095</xdr:rowOff>
    </xdr:to>
    <xdr:sp macro="" textlink="">
      <xdr:nvSpPr>
        <xdr:cNvPr id="45" name="Rectangle: Rounded Corners 44">
          <a:extLst>
            <a:ext uri="{FF2B5EF4-FFF2-40B4-BE49-F238E27FC236}">
              <a16:creationId xmlns:a16="http://schemas.microsoft.com/office/drawing/2014/main" id="{1EF6A126-5E69-456D-87C2-68F07E9E3744}"/>
            </a:ext>
          </a:extLst>
        </xdr:cNvPr>
        <xdr:cNvSpPr/>
      </xdr:nvSpPr>
      <xdr:spPr>
        <a:xfrm>
          <a:off x="5819956" y="1245454"/>
          <a:ext cx="2590801" cy="613441"/>
        </a:xfrm>
        <a:prstGeom prst="roundRect">
          <a:avLst>
            <a:gd name="adj" fmla="val 50000"/>
          </a:avLst>
        </a:prstGeom>
        <a:solidFill>
          <a:schemeClr val="accent2">
            <a:lumMod val="75000"/>
            <a:alpha val="47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editAs="oneCell">
    <xdr:from>
      <xdr:col>12</xdr:col>
      <xdr:colOff>320476</xdr:colOff>
      <xdr:row>7</xdr:row>
      <xdr:rowOff>49000</xdr:rowOff>
    </xdr:from>
    <xdr:to>
      <xdr:col>13</xdr:col>
      <xdr:colOff>284144</xdr:colOff>
      <xdr:row>9</xdr:row>
      <xdr:rowOff>32657</xdr:rowOff>
    </xdr:to>
    <xdr:pic>
      <xdr:nvPicPr>
        <xdr:cNvPr id="47" name="Graphic 46" descr="Ribbon with solid fill">
          <a:extLst>
            <a:ext uri="{FF2B5EF4-FFF2-40B4-BE49-F238E27FC236}">
              <a16:creationId xmlns:a16="http://schemas.microsoft.com/office/drawing/2014/main" id="{A121BE7D-CA79-4551-A3D0-4B8AE73018F3}"/>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635676" y="1322629"/>
          <a:ext cx="573268" cy="353771"/>
        </a:xfrm>
        <a:prstGeom prst="rect">
          <a:avLst/>
        </a:prstGeom>
      </xdr:spPr>
    </xdr:pic>
    <xdr:clientData/>
  </xdr:twoCellAnchor>
  <xdr:twoCellAnchor>
    <xdr:from>
      <xdr:col>8</xdr:col>
      <xdr:colOff>14908</xdr:colOff>
      <xdr:row>24</xdr:row>
      <xdr:rowOff>83126</xdr:rowOff>
    </xdr:from>
    <xdr:to>
      <xdr:col>14</xdr:col>
      <xdr:colOff>401782</xdr:colOff>
      <xdr:row>38</xdr:row>
      <xdr:rowOff>100443</xdr:rowOff>
    </xdr:to>
    <xdr:grpSp>
      <xdr:nvGrpSpPr>
        <xdr:cNvPr id="54" name="Group 53">
          <a:extLst>
            <a:ext uri="{FF2B5EF4-FFF2-40B4-BE49-F238E27FC236}">
              <a16:creationId xmlns:a16="http://schemas.microsoft.com/office/drawing/2014/main" id="{C0C530DC-F279-4F82-A574-5DDEB96A3724}"/>
            </a:ext>
          </a:extLst>
        </xdr:cNvPr>
        <xdr:cNvGrpSpPr/>
      </xdr:nvGrpSpPr>
      <xdr:grpSpPr>
        <a:xfrm>
          <a:off x="4891708" y="4502726"/>
          <a:ext cx="4044474" cy="2466603"/>
          <a:chOff x="7939708" y="4501422"/>
          <a:chExt cx="4044474" cy="2466697"/>
        </a:xfrm>
      </xdr:grpSpPr>
      <xdr:graphicFrame macro="">
        <xdr:nvGraphicFramePr>
          <xdr:cNvPr id="48" name="Chart 47">
            <a:extLst>
              <a:ext uri="{FF2B5EF4-FFF2-40B4-BE49-F238E27FC236}">
                <a16:creationId xmlns:a16="http://schemas.microsoft.com/office/drawing/2014/main" id="{1CC32B0A-B121-4CB0-A6A0-A662B6BCA5EC}"/>
              </a:ext>
            </a:extLst>
          </xdr:cNvPr>
          <xdr:cNvGraphicFramePr>
            <a:graphicFrameLocks/>
          </xdr:cNvGraphicFramePr>
        </xdr:nvGraphicFramePr>
        <xdr:xfrm>
          <a:off x="7939708" y="4552117"/>
          <a:ext cx="2113723" cy="1117085"/>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49" name="Chart 48">
            <a:extLst>
              <a:ext uri="{FF2B5EF4-FFF2-40B4-BE49-F238E27FC236}">
                <a16:creationId xmlns:a16="http://schemas.microsoft.com/office/drawing/2014/main" id="{C4A33F53-96B0-4C22-BBC3-90E9AB4258DC}"/>
              </a:ext>
            </a:extLst>
          </xdr:cNvPr>
          <xdr:cNvGraphicFramePr>
            <a:graphicFrameLocks/>
          </xdr:cNvGraphicFramePr>
        </xdr:nvGraphicFramePr>
        <xdr:xfrm>
          <a:off x="9850582" y="4501422"/>
          <a:ext cx="2133600" cy="1283646"/>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50" name="Chart 49">
            <a:extLst>
              <a:ext uri="{FF2B5EF4-FFF2-40B4-BE49-F238E27FC236}">
                <a16:creationId xmlns:a16="http://schemas.microsoft.com/office/drawing/2014/main" id="{FB4D9883-F826-4A5B-A12C-A5A15509F188}"/>
              </a:ext>
            </a:extLst>
          </xdr:cNvPr>
          <xdr:cNvGraphicFramePr>
            <a:graphicFrameLocks/>
          </xdr:cNvGraphicFramePr>
        </xdr:nvGraphicFramePr>
        <xdr:xfrm>
          <a:off x="8203879" y="5768173"/>
          <a:ext cx="2259274" cy="1178318"/>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51" name="Chart 50">
            <a:extLst>
              <a:ext uri="{FF2B5EF4-FFF2-40B4-BE49-F238E27FC236}">
                <a16:creationId xmlns:a16="http://schemas.microsoft.com/office/drawing/2014/main" id="{CF0C6FD6-11AC-4D8C-8BF3-2C2E9FFADD3B}"/>
              </a:ext>
            </a:extLst>
          </xdr:cNvPr>
          <xdr:cNvGraphicFramePr>
            <a:graphicFrameLocks/>
          </xdr:cNvGraphicFramePr>
        </xdr:nvGraphicFramePr>
        <xdr:xfrm>
          <a:off x="9775371" y="5833490"/>
          <a:ext cx="2134422" cy="1134629"/>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11</xdr:col>
      <xdr:colOff>556507</xdr:colOff>
      <xdr:row>26</xdr:row>
      <xdr:rowOff>37212</xdr:rowOff>
    </xdr:from>
    <xdr:to>
      <xdr:col>13</xdr:col>
      <xdr:colOff>258287</xdr:colOff>
      <xdr:row>29</xdr:row>
      <xdr:rowOff>1981</xdr:rowOff>
    </xdr:to>
    <xdr:sp macro="" textlink="'Faulty Products'!$F$18">
      <xdr:nvSpPr>
        <xdr:cNvPr id="64" name="TextBox 63">
          <a:extLst>
            <a:ext uri="{FF2B5EF4-FFF2-40B4-BE49-F238E27FC236}">
              <a16:creationId xmlns:a16="http://schemas.microsoft.com/office/drawing/2014/main" id="{066BA5EE-BD13-4433-997F-0E1DBF9E02F1}"/>
            </a:ext>
          </a:extLst>
        </xdr:cNvPr>
        <xdr:cNvSpPr txBox="1"/>
      </xdr:nvSpPr>
      <xdr:spPr>
        <a:xfrm>
          <a:off x="7262107" y="4826926"/>
          <a:ext cx="920980" cy="378426"/>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2992462C-1843-4766-BCAA-E31E894FD2E2}" type="TxLink">
            <a:rPr kumimoji="0" lang="en-US" sz="2000" b="0" i="0" u="none" strike="noStrike" kern="0" cap="none" spc="0" normalizeH="0" baseline="0" noProof="0" smtClean="0">
              <a:ln>
                <a:noFill/>
              </a:ln>
              <a:solidFill>
                <a:schemeClr val="bg1"/>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27.3%</a:t>
          </a:fld>
          <a:endParaRPr kumimoji="0" lang="en-US" sz="4800" b="0" i="0" u="none" strike="noStrike" kern="0" cap="none" spc="0" normalizeH="0" baseline="0" noProof="0">
            <a:ln>
              <a:noFill/>
            </a:ln>
            <a:solidFill>
              <a:schemeClr val="bg1"/>
            </a:solidFill>
            <a:effectLst/>
            <a:uLnTx/>
            <a:uFillTx/>
            <a:latin typeface="Calibri" panose="020F0502020204030204"/>
            <a:ea typeface="+mn-ea"/>
            <a:cs typeface="+mn-cs"/>
          </a:endParaRPr>
        </a:p>
      </xdr:txBody>
    </xdr:sp>
    <xdr:clientData/>
  </xdr:twoCellAnchor>
  <xdr:twoCellAnchor>
    <xdr:from>
      <xdr:col>9</xdr:col>
      <xdr:colOff>255567</xdr:colOff>
      <xdr:row>33</xdr:row>
      <xdr:rowOff>178475</xdr:rowOff>
    </xdr:from>
    <xdr:to>
      <xdr:col>10</xdr:col>
      <xdr:colOff>465117</xdr:colOff>
      <xdr:row>35</xdr:row>
      <xdr:rowOff>90054</xdr:rowOff>
    </xdr:to>
    <xdr:sp macro="" textlink="'Faulty Products'!$I$18">
      <xdr:nvSpPr>
        <xdr:cNvPr id="65" name="TextBox 64">
          <a:extLst>
            <a:ext uri="{FF2B5EF4-FFF2-40B4-BE49-F238E27FC236}">
              <a16:creationId xmlns:a16="http://schemas.microsoft.com/office/drawing/2014/main" id="{F2886603-FCC5-4BD0-910A-605BB44325E0}"/>
            </a:ext>
          </a:extLst>
        </xdr:cNvPr>
        <xdr:cNvSpPr txBox="1"/>
      </xdr:nvSpPr>
      <xdr:spPr>
        <a:xfrm>
          <a:off x="5741967" y="6122075"/>
          <a:ext cx="819150" cy="281693"/>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18BF4EB6-3832-44B1-8821-8BD5D4FD4B7F}" type="TxLink">
            <a:rPr kumimoji="0" lang="en-US" sz="2000" b="0" i="0" u="none" strike="noStrike" kern="0" cap="none" spc="0" normalizeH="0" baseline="0" noProof="0" smtClean="0">
              <a:ln>
                <a:noFill/>
              </a:ln>
              <a:solidFill>
                <a:schemeClr val="bg1"/>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43.5%</a:t>
          </a:fld>
          <a:endParaRPr kumimoji="0" lang="en-US" sz="4800" b="0" i="0" u="none" strike="noStrike" kern="0" cap="none" spc="0" normalizeH="0" baseline="0" noProof="0">
            <a:ln>
              <a:noFill/>
            </a:ln>
            <a:solidFill>
              <a:schemeClr val="bg1"/>
            </a:solidFill>
            <a:effectLst/>
            <a:uLnTx/>
            <a:uFillTx/>
            <a:latin typeface="Calibri" panose="020F0502020204030204"/>
            <a:ea typeface="+mn-ea"/>
            <a:cs typeface="+mn-cs"/>
          </a:endParaRPr>
        </a:p>
      </xdr:txBody>
    </xdr:sp>
    <xdr:clientData/>
  </xdr:twoCellAnchor>
  <xdr:twoCellAnchor>
    <xdr:from>
      <xdr:col>11</xdr:col>
      <xdr:colOff>603168</xdr:colOff>
      <xdr:row>33</xdr:row>
      <xdr:rowOff>103909</xdr:rowOff>
    </xdr:from>
    <xdr:to>
      <xdr:col>13</xdr:col>
      <xdr:colOff>315686</xdr:colOff>
      <xdr:row>35</xdr:row>
      <xdr:rowOff>117764</xdr:rowOff>
    </xdr:to>
    <xdr:sp macro="" textlink="'Faulty Products'!$L$18">
      <xdr:nvSpPr>
        <xdr:cNvPr id="66" name="TextBox 65">
          <a:extLst>
            <a:ext uri="{FF2B5EF4-FFF2-40B4-BE49-F238E27FC236}">
              <a16:creationId xmlns:a16="http://schemas.microsoft.com/office/drawing/2014/main" id="{5B67FE32-23AB-4B26-8A42-441E87CF300A}"/>
            </a:ext>
          </a:extLst>
        </xdr:cNvPr>
        <xdr:cNvSpPr txBox="1"/>
      </xdr:nvSpPr>
      <xdr:spPr>
        <a:xfrm>
          <a:off x="7308768" y="6047509"/>
          <a:ext cx="931718" cy="383969"/>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0756A161-85E3-46EF-8D72-E78013257B3B}" type="TxLink">
            <a:rPr kumimoji="0" lang="en-US" sz="2000" b="0" i="0" u="none" strike="noStrike" kern="0" cap="none" spc="0" normalizeH="0" baseline="0" noProof="0" smtClean="0">
              <a:ln>
                <a:noFill/>
              </a:ln>
              <a:solidFill>
                <a:schemeClr val="bg1"/>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37.5%</a:t>
          </a:fld>
          <a:endParaRPr kumimoji="0" lang="en-US" sz="4800" b="0" i="0" u="none" strike="noStrike" kern="0" cap="none" spc="0" normalizeH="0" baseline="0" noProof="0">
            <a:ln>
              <a:noFill/>
            </a:ln>
            <a:solidFill>
              <a:schemeClr val="bg1"/>
            </a:solidFill>
            <a:effectLst/>
            <a:uLnTx/>
            <a:uFillTx/>
            <a:latin typeface="Calibri" panose="020F0502020204030204"/>
            <a:ea typeface="+mn-ea"/>
            <a:cs typeface="+mn-cs"/>
          </a:endParaRPr>
        </a:p>
      </xdr:txBody>
    </xdr:sp>
    <xdr:clientData/>
  </xdr:twoCellAnchor>
  <xdr:twoCellAnchor>
    <xdr:from>
      <xdr:col>9</xdr:col>
      <xdr:colOff>178377</xdr:colOff>
      <xdr:row>26</xdr:row>
      <xdr:rowOff>58883</xdr:rowOff>
    </xdr:from>
    <xdr:to>
      <xdr:col>10</xdr:col>
      <xdr:colOff>540326</xdr:colOff>
      <xdr:row>30</xdr:row>
      <xdr:rowOff>69273</xdr:rowOff>
    </xdr:to>
    <xdr:grpSp>
      <xdr:nvGrpSpPr>
        <xdr:cNvPr id="2" name="Group 1">
          <a:extLst>
            <a:ext uri="{FF2B5EF4-FFF2-40B4-BE49-F238E27FC236}">
              <a16:creationId xmlns:a16="http://schemas.microsoft.com/office/drawing/2014/main" id="{0878625B-C5C7-458B-AFCE-E1B415145660}"/>
            </a:ext>
          </a:extLst>
        </xdr:cNvPr>
        <xdr:cNvGrpSpPr/>
      </xdr:nvGrpSpPr>
      <xdr:grpSpPr>
        <a:xfrm>
          <a:off x="5664777" y="4848597"/>
          <a:ext cx="971549" cy="609105"/>
          <a:chOff x="5664777" y="4848597"/>
          <a:chExt cx="971549" cy="609105"/>
        </a:xfrm>
      </xdr:grpSpPr>
      <xdr:sp macro="" textlink="'Faulty Products'!$C$18">
        <xdr:nvSpPr>
          <xdr:cNvPr id="63" name="TextBox 62">
            <a:extLst>
              <a:ext uri="{FF2B5EF4-FFF2-40B4-BE49-F238E27FC236}">
                <a16:creationId xmlns:a16="http://schemas.microsoft.com/office/drawing/2014/main" id="{42C4B5FD-10BB-4B6B-AB19-178432595570}"/>
              </a:ext>
            </a:extLst>
          </xdr:cNvPr>
          <xdr:cNvSpPr txBox="1"/>
        </xdr:nvSpPr>
        <xdr:spPr>
          <a:xfrm>
            <a:off x="5664777" y="4848597"/>
            <a:ext cx="971549" cy="368629"/>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CB2ABC8E-2780-49A9-81AF-C11D8D3E3F11}" type="TxLink">
              <a:rPr kumimoji="0" lang="en-US" sz="2000" b="0" i="0" u="none" strike="noStrike" kern="0" cap="none" spc="0" normalizeH="0" baseline="0" noProof="0" smtClean="0">
                <a:ln>
                  <a:noFill/>
                </a:ln>
                <a:solidFill>
                  <a:schemeClr val="bg1"/>
                </a:solidFill>
                <a:effectLst/>
                <a:uLnTx/>
                <a:uFillTx/>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32.5%</a:t>
            </a:fld>
            <a:endParaRPr kumimoji="0" lang="en-US" sz="4800" b="0" i="0" u="none" strike="noStrike" kern="0" cap="none" spc="0" normalizeH="0" baseline="0" noProof="0">
              <a:ln>
                <a:noFill/>
              </a:ln>
              <a:solidFill>
                <a:schemeClr val="bg1"/>
              </a:solidFill>
              <a:effectLst/>
              <a:uLnTx/>
              <a:uFillTx/>
              <a:latin typeface="Calibri" panose="020F0502020204030204"/>
              <a:ea typeface="+mn-ea"/>
              <a:cs typeface="+mn-cs"/>
            </a:endParaRPr>
          </a:p>
        </xdr:txBody>
      </xdr:sp>
      <xdr:sp macro="" textlink="">
        <xdr:nvSpPr>
          <xdr:cNvPr id="67" name="TextBox 66">
            <a:extLst>
              <a:ext uri="{FF2B5EF4-FFF2-40B4-BE49-F238E27FC236}">
                <a16:creationId xmlns:a16="http://schemas.microsoft.com/office/drawing/2014/main" id="{1F93976D-DF14-401E-9B7F-819D2B3DE0BC}"/>
              </a:ext>
            </a:extLst>
          </xdr:cNvPr>
          <xdr:cNvSpPr txBox="1"/>
        </xdr:nvSpPr>
        <xdr:spPr>
          <a:xfrm>
            <a:off x="5749636" y="5170714"/>
            <a:ext cx="831273" cy="2869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Computer</a:t>
            </a:r>
          </a:p>
        </xdr:txBody>
      </xdr:sp>
    </xdr:grpSp>
    <xdr:clientData/>
  </xdr:twoCellAnchor>
  <xdr:twoCellAnchor>
    <xdr:from>
      <xdr:col>12</xdr:col>
      <xdr:colOff>99951</xdr:colOff>
      <xdr:row>28</xdr:row>
      <xdr:rowOff>136565</xdr:rowOff>
    </xdr:from>
    <xdr:to>
      <xdr:col>13</xdr:col>
      <xdr:colOff>87085</xdr:colOff>
      <xdr:row>30</xdr:row>
      <xdr:rowOff>10886</xdr:rowOff>
    </xdr:to>
    <xdr:sp macro="" textlink="">
      <xdr:nvSpPr>
        <xdr:cNvPr id="68" name="TextBox 67">
          <a:extLst>
            <a:ext uri="{FF2B5EF4-FFF2-40B4-BE49-F238E27FC236}">
              <a16:creationId xmlns:a16="http://schemas.microsoft.com/office/drawing/2014/main" id="{33060ED4-A199-414B-A46F-255D31142145}"/>
            </a:ext>
          </a:extLst>
        </xdr:cNvPr>
        <xdr:cNvSpPr txBox="1"/>
      </xdr:nvSpPr>
      <xdr:spPr>
        <a:xfrm>
          <a:off x="7415151" y="5154879"/>
          <a:ext cx="596734" cy="244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Laptop</a:t>
          </a:r>
        </a:p>
      </xdr:txBody>
    </xdr:sp>
    <xdr:clientData/>
  </xdr:twoCellAnchor>
  <xdr:twoCellAnchor>
    <xdr:from>
      <xdr:col>9</xdr:col>
      <xdr:colOff>335478</xdr:colOff>
      <xdr:row>35</xdr:row>
      <xdr:rowOff>84116</xdr:rowOff>
    </xdr:from>
    <xdr:to>
      <xdr:col>10</xdr:col>
      <xdr:colOff>349333</xdr:colOff>
      <xdr:row>37</xdr:row>
      <xdr:rowOff>28698</xdr:rowOff>
    </xdr:to>
    <xdr:sp macro="" textlink="">
      <xdr:nvSpPr>
        <xdr:cNvPr id="69" name="TextBox 68">
          <a:extLst>
            <a:ext uri="{FF2B5EF4-FFF2-40B4-BE49-F238E27FC236}">
              <a16:creationId xmlns:a16="http://schemas.microsoft.com/office/drawing/2014/main" id="{02032563-8D6D-455D-B6AE-760C8F9B8C74}"/>
            </a:ext>
          </a:extLst>
        </xdr:cNvPr>
        <xdr:cNvSpPr txBox="1"/>
      </xdr:nvSpPr>
      <xdr:spPr>
        <a:xfrm>
          <a:off x="5821878" y="6397830"/>
          <a:ext cx="623455" cy="314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Phones</a:t>
          </a:r>
        </a:p>
      </xdr:txBody>
    </xdr:sp>
    <xdr:clientData/>
  </xdr:twoCellAnchor>
  <xdr:twoCellAnchor>
    <xdr:from>
      <xdr:col>12</xdr:col>
      <xdr:colOff>154380</xdr:colOff>
      <xdr:row>35</xdr:row>
      <xdr:rowOff>65315</xdr:rowOff>
    </xdr:from>
    <xdr:to>
      <xdr:col>13</xdr:col>
      <xdr:colOff>251362</xdr:colOff>
      <xdr:row>36</xdr:row>
      <xdr:rowOff>153391</xdr:rowOff>
    </xdr:to>
    <xdr:sp macro="" textlink="">
      <xdr:nvSpPr>
        <xdr:cNvPr id="70" name="TextBox 69">
          <a:extLst>
            <a:ext uri="{FF2B5EF4-FFF2-40B4-BE49-F238E27FC236}">
              <a16:creationId xmlns:a16="http://schemas.microsoft.com/office/drawing/2014/main" id="{453BA2CD-928E-4E5C-80E6-A157449190E4}"/>
            </a:ext>
          </a:extLst>
        </xdr:cNvPr>
        <xdr:cNvSpPr txBox="1"/>
      </xdr:nvSpPr>
      <xdr:spPr>
        <a:xfrm>
          <a:off x="7469580" y="6379029"/>
          <a:ext cx="706582" cy="273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Screens</a:t>
          </a:r>
        </a:p>
      </xdr:txBody>
    </xdr:sp>
    <xdr:clientData/>
  </xdr:twoCellAnchor>
  <xdr:twoCellAnchor>
    <xdr:from>
      <xdr:col>1</xdr:col>
      <xdr:colOff>108857</xdr:colOff>
      <xdr:row>24</xdr:row>
      <xdr:rowOff>163286</xdr:rowOff>
    </xdr:from>
    <xdr:to>
      <xdr:col>7</xdr:col>
      <xdr:colOff>587828</xdr:colOff>
      <xdr:row>38</xdr:row>
      <xdr:rowOff>119743</xdr:rowOff>
    </xdr:to>
    <mc:AlternateContent xmlns:mc="http://schemas.openxmlformats.org/markup-compatibility/2006">
      <mc:Choice xmlns:cx1="http://schemas.microsoft.com/office/drawing/2015/9/8/chartex" Requires="cx1">
        <xdr:graphicFrame macro="">
          <xdr:nvGraphicFramePr>
            <xdr:cNvPr id="73" name="Chart 72">
              <a:extLst>
                <a:ext uri="{FF2B5EF4-FFF2-40B4-BE49-F238E27FC236}">
                  <a16:creationId xmlns:a16="http://schemas.microsoft.com/office/drawing/2014/main" id="{7C8A7DD8-ECA5-44FA-AFFD-E65D5D1AE0C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7"/>
            </a:graphicData>
          </a:graphic>
        </xdr:graphicFrame>
      </mc:Choice>
      <mc:Fallback>
        <xdr:sp macro="" textlink="">
          <xdr:nvSpPr>
            <xdr:cNvPr id="0" name=""/>
            <xdr:cNvSpPr>
              <a:spLocks noTextEdit="1"/>
            </xdr:cNvSpPr>
          </xdr:nvSpPr>
          <xdr:spPr>
            <a:xfrm>
              <a:off x="718457" y="4529546"/>
              <a:ext cx="4136571" cy="23719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285751</xdr:colOff>
      <xdr:row>9</xdr:row>
      <xdr:rowOff>32657</xdr:rowOff>
    </xdr:from>
    <xdr:to>
      <xdr:col>24</xdr:col>
      <xdr:colOff>76201</xdr:colOff>
      <xdr:row>38</xdr:row>
      <xdr:rowOff>65314</xdr:rowOff>
    </xdr:to>
    <xdr:graphicFrame macro="">
      <xdr:nvGraphicFramePr>
        <xdr:cNvPr id="74" name="Chart 73">
          <a:extLst>
            <a:ext uri="{FF2B5EF4-FFF2-40B4-BE49-F238E27FC236}">
              <a16:creationId xmlns:a16="http://schemas.microsoft.com/office/drawing/2014/main" id="{FF49B3E2-E609-46F9-98CA-8827F5FC2D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17</xdr:col>
      <xdr:colOff>115702</xdr:colOff>
      <xdr:row>40</xdr:row>
      <xdr:rowOff>41563</xdr:rowOff>
    </xdr:from>
    <xdr:to>
      <xdr:col>22</xdr:col>
      <xdr:colOff>138563</xdr:colOff>
      <xdr:row>46</xdr:row>
      <xdr:rowOff>55419</xdr:rowOff>
    </xdr:to>
    <mc:AlternateContent xmlns:mc="http://schemas.openxmlformats.org/markup-compatibility/2006" xmlns:a14="http://schemas.microsoft.com/office/drawing/2010/main">
      <mc:Choice Requires="a14">
        <xdr:graphicFrame macro="">
          <xdr:nvGraphicFramePr>
            <xdr:cNvPr id="75" name="Area">
              <a:extLst>
                <a:ext uri="{FF2B5EF4-FFF2-40B4-BE49-F238E27FC236}">
                  <a16:creationId xmlns:a16="http://schemas.microsoft.com/office/drawing/2014/main" id="{BCADF082-061E-470C-A07F-CA46A9C49FDC}"/>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10478902" y="7280563"/>
              <a:ext cx="3070861" cy="11241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55416</xdr:colOff>
      <xdr:row>40</xdr:row>
      <xdr:rowOff>83124</xdr:rowOff>
    </xdr:from>
    <xdr:to>
      <xdr:col>5</xdr:col>
      <xdr:colOff>588818</xdr:colOff>
      <xdr:row>46</xdr:row>
      <xdr:rowOff>27707</xdr:rowOff>
    </xdr:to>
    <mc:AlternateContent xmlns:mc="http://schemas.openxmlformats.org/markup-compatibility/2006" xmlns:a14="http://schemas.microsoft.com/office/drawing/2010/main">
      <mc:Choice Requires="a14">
        <xdr:graphicFrame macro="">
          <xdr:nvGraphicFramePr>
            <xdr:cNvPr id="76" name="Year">
              <a:extLst>
                <a:ext uri="{FF2B5EF4-FFF2-40B4-BE49-F238E27FC236}">
                  <a16:creationId xmlns:a16="http://schemas.microsoft.com/office/drawing/2014/main" id="{343C6796-CC1B-4169-8BEA-23A42AE2DD1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65016" y="7322124"/>
              <a:ext cx="2971802" cy="10549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50572</xdr:colOff>
      <xdr:row>40</xdr:row>
      <xdr:rowOff>69272</xdr:rowOff>
    </xdr:from>
    <xdr:to>
      <xdr:col>10</xdr:col>
      <xdr:colOff>526477</xdr:colOff>
      <xdr:row>46</xdr:row>
      <xdr:rowOff>41564</xdr:rowOff>
    </xdr:to>
    <mc:AlternateContent xmlns:mc="http://schemas.openxmlformats.org/markup-compatibility/2006" xmlns:a14="http://schemas.microsoft.com/office/drawing/2010/main">
      <mc:Choice Requires="a14">
        <xdr:graphicFrame macro="">
          <xdr:nvGraphicFramePr>
            <xdr:cNvPr id="77" name="Product">
              <a:extLst>
                <a:ext uri="{FF2B5EF4-FFF2-40B4-BE49-F238E27FC236}">
                  <a16:creationId xmlns:a16="http://schemas.microsoft.com/office/drawing/2014/main" id="{0A7B83CF-84BB-4C41-8E35-ADAC4BE2131D}"/>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4317772" y="7308272"/>
              <a:ext cx="2304705" cy="10826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586049</xdr:colOff>
      <xdr:row>40</xdr:row>
      <xdr:rowOff>96983</xdr:rowOff>
    </xdr:from>
    <xdr:to>
      <xdr:col>16</xdr:col>
      <xdr:colOff>27714</xdr:colOff>
      <xdr:row>45</xdr:row>
      <xdr:rowOff>166256</xdr:rowOff>
    </xdr:to>
    <mc:AlternateContent xmlns:mc="http://schemas.openxmlformats.org/markup-compatibility/2006" xmlns:a14="http://schemas.microsoft.com/office/drawing/2010/main">
      <mc:Choice Requires="a14">
        <xdr:graphicFrame macro="">
          <xdr:nvGraphicFramePr>
            <xdr:cNvPr id="78" name="Sales Channel">
              <a:extLst>
                <a:ext uri="{FF2B5EF4-FFF2-40B4-BE49-F238E27FC236}">
                  <a16:creationId xmlns:a16="http://schemas.microsoft.com/office/drawing/2014/main" id="{B4001269-ADA7-4290-9F11-808C959194BE}"/>
                </a:ext>
              </a:extLst>
            </xdr:cNvPr>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7291649" y="7335983"/>
              <a:ext cx="2489665" cy="9945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xdr:col>
      <xdr:colOff>237564</xdr:colOff>
      <xdr:row>2</xdr:row>
      <xdr:rowOff>1345</xdr:rowOff>
    </xdr:from>
    <xdr:to>
      <xdr:col>18</xdr:col>
      <xdr:colOff>188258</xdr:colOff>
      <xdr:row>25</xdr:row>
      <xdr:rowOff>44824</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CEF107E3-E721-475F-AA34-A8312B9FEEF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038164" y="367105"/>
              <a:ext cx="7441154" cy="424971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242239</xdr:colOff>
      <xdr:row>0</xdr:row>
      <xdr:rowOff>157521</xdr:rowOff>
    </xdr:from>
    <xdr:to>
      <xdr:col>19</xdr:col>
      <xdr:colOff>6019</xdr:colOff>
      <xdr:row>19</xdr:row>
      <xdr:rowOff>94768</xdr:rowOff>
    </xdr:to>
    <xdr:graphicFrame macro="">
      <xdr:nvGraphicFramePr>
        <xdr:cNvPr id="2" name="Chart 1">
          <a:extLst>
            <a:ext uri="{FF2B5EF4-FFF2-40B4-BE49-F238E27FC236}">
              <a16:creationId xmlns:a16="http://schemas.microsoft.com/office/drawing/2014/main" id="{ED4FAB6D-E080-4F51-BA6D-D9E007117C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9</xdr:row>
      <xdr:rowOff>167640</xdr:rowOff>
    </xdr:from>
    <xdr:to>
      <xdr:col>2</xdr:col>
      <xdr:colOff>22860</xdr:colOff>
      <xdr:row>13</xdr:row>
      <xdr:rowOff>0</xdr:rowOff>
    </xdr:to>
    <xdr:sp macro="" textlink="$C$18">
      <xdr:nvSpPr>
        <xdr:cNvPr id="3" name="TextBox 2">
          <a:extLst>
            <a:ext uri="{FF2B5EF4-FFF2-40B4-BE49-F238E27FC236}">
              <a16:creationId xmlns:a16="http://schemas.microsoft.com/office/drawing/2014/main" id="{37F41D18-F2E0-4BA4-B5DE-B18A1E8A9414}"/>
            </a:ext>
          </a:extLst>
        </xdr:cNvPr>
        <xdr:cNvSpPr txBox="1"/>
      </xdr:nvSpPr>
      <xdr:spPr>
        <a:xfrm>
          <a:off x="0" y="1813560"/>
          <a:ext cx="2110740" cy="563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D8E2554-6659-44C4-B25B-BFBC66E7D005}" type="TxLink">
            <a:rPr lang="en-US" sz="2800" b="0" i="0" u="none" strike="noStrike">
              <a:solidFill>
                <a:srgbClr val="000000"/>
              </a:solidFill>
              <a:latin typeface="Calibri"/>
              <a:cs typeface="Calibri"/>
            </a:rPr>
            <a:pPr algn="ctr"/>
            <a:t>32.5%</a:t>
          </a:fld>
          <a:endParaRPr lang="en-US" sz="2800"/>
        </a:p>
      </xdr:txBody>
    </xdr:sp>
    <xdr:clientData/>
  </xdr:twoCellAnchor>
  <xdr:twoCellAnchor>
    <xdr:from>
      <xdr:col>3</xdr:col>
      <xdr:colOff>175260</xdr:colOff>
      <xdr:row>9</xdr:row>
      <xdr:rowOff>114300</xdr:rowOff>
    </xdr:from>
    <xdr:to>
      <xdr:col>5</xdr:col>
      <xdr:colOff>198120</xdr:colOff>
      <xdr:row>12</xdr:row>
      <xdr:rowOff>76200</xdr:rowOff>
    </xdr:to>
    <xdr:sp macro="" textlink="$F$18">
      <xdr:nvSpPr>
        <xdr:cNvPr id="4" name="TextBox 3">
          <a:extLst>
            <a:ext uri="{FF2B5EF4-FFF2-40B4-BE49-F238E27FC236}">
              <a16:creationId xmlns:a16="http://schemas.microsoft.com/office/drawing/2014/main" id="{F283F8BE-1EE3-4D0A-94AB-76692D9276AC}"/>
            </a:ext>
          </a:extLst>
        </xdr:cNvPr>
        <xdr:cNvSpPr txBox="1"/>
      </xdr:nvSpPr>
      <xdr:spPr>
        <a:xfrm>
          <a:off x="4023360" y="1828800"/>
          <a:ext cx="3108960" cy="533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4A90C98-903D-468B-86DB-647B0C84765F}" type="TxLink">
            <a:rPr lang="en-US" sz="2800" b="0" i="0" u="none" strike="noStrike">
              <a:solidFill>
                <a:srgbClr val="000000"/>
              </a:solidFill>
              <a:latin typeface="Calibri"/>
              <a:cs typeface="Calibri"/>
            </a:rPr>
            <a:pPr algn="ctr"/>
            <a:t>27.3%</a:t>
          </a:fld>
          <a:endParaRPr lang="en-US" sz="2800"/>
        </a:p>
      </xdr:txBody>
    </xdr:sp>
    <xdr:clientData/>
  </xdr:twoCellAnchor>
  <xdr:twoCellAnchor>
    <xdr:from>
      <xdr:col>6</xdr:col>
      <xdr:colOff>0</xdr:colOff>
      <xdr:row>10</xdr:row>
      <xdr:rowOff>0</xdr:rowOff>
    </xdr:from>
    <xdr:to>
      <xdr:col>8</xdr:col>
      <xdr:colOff>22860</xdr:colOff>
      <xdr:row>12</xdr:row>
      <xdr:rowOff>144780</xdr:rowOff>
    </xdr:to>
    <xdr:sp macro="" textlink="$I$18">
      <xdr:nvSpPr>
        <xdr:cNvPr id="5" name="TextBox 4">
          <a:extLst>
            <a:ext uri="{FF2B5EF4-FFF2-40B4-BE49-F238E27FC236}">
              <a16:creationId xmlns:a16="http://schemas.microsoft.com/office/drawing/2014/main" id="{822B6E18-23BC-4BB7-A8AE-1C5FCA86A6C0}"/>
            </a:ext>
          </a:extLst>
        </xdr:cNvPr>
        <xdr:cNvSpPr txBox="1"/>
      </xdr:nvSpPr>
      <xdr:spPr>
        <a:xfrm>
          <a:off x="5394960" y="1828800"/>
          <a:ext cx="2110740" cy="510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2204D1E-9276-4E05-B817-8454D2A77026}" type="TxLink">
            <a:rPr lang="en-US" sz="2800" b="0" i="0" u="none" strike="noStrike">
              <a:solidFill>
                <a:srgbClr val="000000"/>
              </a:solidFill>
              <a:latin typeface="Calibri"/>
              <a:cs typeface="Calibri"/>
            </a:rPr>
            <a:pPr algn="ctr"/>
            <a:t>43.5%</a:t>
          </a:fld>
          <a:endParaRPr lang="en-US" sz="2800"/>
        </a:p>
      </xdr:txBody>
    </xdr:sp>
    <xdr:clientData/>
  </xdr:twoCellAnchor>
  <xdr:twoCellAnchor>
    <xdr:from>
      <xdr:col>9</xdr:col>
      <xdr:colOff>0</xdr:colOff>
      <xdr:row>10</xdr:row>
      <xdr:rowOff>0</xdr:rowOff>
    </xdr:from>
    <xdr:to>
      <xdr:col>11</xdr:col>
      <xdr:colOff>22860</xdr:colOff>
      <xdr:row>12</xdr:row>
      <xdr:rowOff>144780</xdr:rowOff>
    </xdr:to>
    <xdr:sp macro="" textlink="$L$18">
      <xdr:nvSpPr>
        <xdr:cNvPr id="6" name="TextBox 5">
          <a:extLst>
            <a:ext uri="{FF2B5EF4-FFF2-40B4-BE49-F238E27FC236}">
              <a16:creationId xmlns:a16="http://schemas.microsoft.com/office/drawing/2014/main" id="{B7A8FAE7-6206-428F-AEBD-D2415AE72AE2}"/>
            </a:ext>
          </a:extLst>
        </xdr:cNvPr>
        <xdr:cNvSpPr txBox="1"/>
      </xdr:nvSpPr>
      <xdr:spPr>
        <a:xfrm>
          <a:off x="8092440" y="1828800"/>
          <a:ext cx="2110740" cy="510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75642CF-583F-4C6F-989C-12D3288ED5AF}" type="TxLink">
            <a:rPr lang="en-US" sz="2800" b="0" i="0" u="none" strike="noStrike">
              <a:solidFill>
                <a:srgbClr val="000000"/>
              </a:solidFill>
              <a:latin typeface="Calibri"/>
              <a:cs typeface="Calibri"/>
            </a:rPr>
            <a:pPr algn="ctr"/>
            <a:t>37.5%</a:t>
          </a:fld>
          <a:endParaRPr lang="en-US" sz="2800"/>
        </a:p>
      </xdr:txBody>
    </xdr:sp>
    <xdr:clientData/>
  </xdr:twoCellAnchor>
  <xdr:twoCellAnchor>
    <xdr:from>
      <xdr:col>0</xdr:col>
      <xdr:colOff>41564</xdr:colOff>
      <xdr:row>21</xdr:row>
      <xdr:rowOff>124195</xdr:rowOff>
    </xdr:from>
    <xdr:to>
      <xdr:col>4</xdr:col>
      <xdr:colOff>1056905</xdr:colOff>
      <xdr:row>36</xdr:row>
      <xdr:rowOff>91538</xdr:rowOff>
    </xdr:to>
    <xdr:graphicFrame macro="">
      <xdr:nvGraphicFramePr>
        <xdr:cNvPr id="19" name="Chart 18">
          <a:extLst>
            <a:ext uri="{FF2B5EF4-FFF2-40B4-BE49-F238E27FC236}">
              <a16:creationId xmlns:a16="http://schemas.microsoft.com/office/drawing/2014/main" id="{D0A9D4BE-1E29-468E-B74E-9E59DF0BD3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1368879</xdr:colOff>
      <xdr:row>22</xdr:row>
      <xdr:rowOff>185057</xdr:rowOff>
    </xdr:from>
    <xdr:to>
      <xdr:col>9</xdr:col>
      <xdr:colOff>0</xdr:colOff>
      <xdr:row>40</xdr:row>
      <xdr:rowOff>76200</xdr:rowOff>
    </xdr:to>
    <xdr:graphicFrame macro="">
      <xdr:nvGraphicFramePr>
        <xdr:cNvPr id="20" name="Chart 19">
          <a:extLst>
            <a:ext uri="{FF2B5EF4-FFF2-40B4-BE49-F238E27FC236}">
              <a16:creationId xmlns:a16="http://schemas.microsoft.com/office/drawing/2014/main" id="{90A31C18-B0D4-4321-8481-A9C349C2A7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429986</xdr:colOff>
      <xdr:row>22</xdr:row>
      <xdr:rowOff>122465</xdr:rowOff>
    </xdr:from>
    <xdr:to>
      <xdr:col>16</xdr:col>
      <xdr:colOff>228600</xdr:colOff>
      <xdr:row>40</xdr:row>
      <xdr:rowOff>171450</xdr:rowOff>
    </xdr:to>
    <xdr:graphicFrame macro="">
      <xdr:nvGraphicFramePr>
        <xdr:cNvPr id="21" name="Chart 20">
          <a:extLst>
            <a:ext uri="{FF2B5EF4-FFF2-40B4-BE49-F238E27FC236}">
              <a16:creationId xmlns:a16="http://schemas.microsoft.com/office/drawing/2014/main" id="{799A44DE-39A6-49E6-8163-550DCA9FFC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284018</xdr:colOff>
      <xdr:row>1</xdr:row>
      <xdr:rowOff>57151</xdr:rowOff>
    </xdr:from>
    <xdr:to>
      <xdr:col>18</xdr:col>
      <xdr:colOff>729343</xdr:colOff>
      <xdr:row>19</xdr:row>
      <xdr:rowOff>43543</xdr:rowOff>
    </xdr:to>
    <xdr:graphicFrame macro="">
      <xdr:nvGraphicFramePr>
        <xdr:cNvPr id="26" name="Chart 25">
          <a:extLst>
            <a:ext uri="{FF2B5EF4-FFF2-40B4-BE49-F238E27FC236}">
              <a16:creationId xmlns:a16="http://schemas.microsoft.com/office/drawing/2014/main" id="{61965F18-5934-4544-814B-5548676A97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293915</xdr:colOff>
      <xdr:row>1</xdr:row>
      <xdr:rowOff>32657</xdr:rowOff>
    </xdr:from>
    <xdr:to>
      <xdr:col>17</xdr:col>
      <xdr:colOff>103415</xdr:colOff>
      <xdr:row>21</xdr:row>
      <xdr:rowOff>54429</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1107A0EE-622B-44E1-8172-5ED4C2689EB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492535" y="215537"/>
              <a:ext cx="7124700" cy="367937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8</xdr:col>
      <xdr:colOff>429489</xdr:colOff>
      <xdr:row>2</xdr:row>
      <xdr:rowOff>166254</xdr:rowOff>
    </xdr:from>
    <xdr:to>
      <xdr:col>10</xdr:col>
      <xdr:colOff>595746</xdr:colOff>
      <xdr:row>6</xdr:row>
      <xdr:rowOff>27709</xdr:rowOff>
    </xdr:to>
    <xdr:sp macro="" textlink="$E$5">
      <xdr:nvSpPr>
        <xdr:cNvPr id="2" name="TextBox 1">
          <a:extLst>
            <a:ext uri="{FF2B5EF4-FFF2-40B4-BE49-F238E27FC236}">
              <a16:creationId xmlns:a16="http://schemas.microsoft.com/office/drawing/2014/main" id="{7F26E2D4-0F20-4A52-A162-8F1DF31ED79D}"/>
            </a:ext>
          </a:extLst>
        </xdr:cNvPr>
        <xdr:cNvSpPr txBox="1"/>
      </xdr:nvSpPr>
      <xdr:spPr>
        <a:xfrm>
          <a:off x="6941125" y="526472"/>
          <a:ext cx="1385457" cy="5818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E51EA43-6C9A-42A2-B080-57E4C046624B}" type="TxLink">
            <a:rPr lang="en-US" sz="1100" b="0" i="0" u="none" strike="noStrike">
              <a:solidFill>
                <a:srgbClr val="000000"/>
              </a:solidFill>
              <a:latin typeface="Calibri"/>
              <a:cs typeface="Calibri"/>
            </a:rPr>
            <a:pPr/>
            <a:t>$13,375</a:t>
          </a:fld>
          <a:endParaRPr lang="en-US" sz="1100"/>
        </a:p>
      </xdr:txBody>
    </xdr:sp>
    <xdr:clientData/>
  </xdr:twoCellAnchor>
  <xdr:twoCellAnchor>
    <xdr:from>
      <xdr:col>5</xdr:col>
      <xdr:colOff>540327</xdr:colOff>
      <xdr:row>2</xdr:row>
      <xdr:rowOff>166254</xdr:rowOff>
    </xdr:from>
    <xdr:to>
      <xdr:col>8</xdr:col>
      <xdr:colOff>55418</xdr:colOff>
      <xdr:row>6</xdr:row>
      <xdr:rowOff>13854</xdr:rowOff>
    </xdr:to>
    <xdr:sp macro="" textlink="$D$5">
      <xdr:nvSpPr>
        <xdr:cNvPr id="3" name="TextBox 2">
          <a:extLst>
            <a:ext uri="{FF2B5EF4-FFF2-40B4-BE49-F238E27FC236}">
              <a16:creationId xmlns:a16="http://schemas.microsoft.com/office/drawing/2014/main" id="{B98CF27F-205F-445E-831C-F07FAC1B794D}"/>
            </a:ext>
          </a:extLst>
        </xdr:cNvPr>
        <xdr:cNvSpPr txBox="1"/>
      </xdr:nvSpPr>
      <xdr:spPr>
        <a:xfrm>
          <a:off x="5223163" y="526472"/>
          <a:ext cx="1343891" cy="5680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F139952-4239-4FD5-A3E1-58080F8FC32A}" type="TxLink">
            <a:rPr lang="en-US" sz="1100" b="0" i="0" u="none" strike="noStrike">
              <a:solidFill>
                <a:srgbClr val="000000"/>
              </a:solidFill>
              <a:latin typeface="Calibri"/>
              <a:cs typeface="Calibri"/>
            </a:rPr>
            <a:pPr/>
            <a:t>Nicholas</a:t>
          </a:fld>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had nasser" refreshedDate="44667.862731365742" createdVersion="7" refreshedVersion="7" minRefreshableVersion="3" recordCount="123" xr:uid="{80FED3EC-02EB-4AAF-8A32-FF0243C68EDF}">
  <cacheSource type="worksheet">
    <worksheetSource name="Table1"/>
  </cacheSource>
  <cacheFields count="11">
    <cacheField name="FirstName" numFmtId="0">
      <sharedItems containsBlank="1" count="89">
        <s v="Benny"/>
        <s v="Johnny"/>
        <s v="Mike"/>
        <s v="Caitlyn"/>
        <s v="Boris"/>
        <s v="Javier"/>
        <s v="Nicholas"/>
        <s v="Emmanuelle"/>
        <s v="Abdul"/>
        <s v="Josephine"/>
        <s v="Bridget"/>
        <s v="Denny"/>
        <s v="Alan"/>
        <s v="Owen"/>
        <s v="Mason"/>
        <s v="Makenzie"/>
        <s v="Agnes"/>
        <s v="Tyson"/>
        <s v="Aiden"/>
        <s v="Chuck"/>
        <s v="Jacob"/>
        <s v="Kurt"/>
        <s v="Rae"/>
        <s v="Bob"/>
        <s v="Erick"/>
        <s v="Josh"/>
        <s v="Piper"/>
        <s v="Elly"/>
        <s v="Janelle"/>
        <s v="Chadwick"/>
        <s v="Roger"/>
        <s v="Lindsay"/>
        <s v="Alex"/>
        <s v="Gwen"/>
        <s v="Julianna"/>
        <s v="Fiona"/>
        <s v="Madison"/>
        <s v="Christy"/>
        <s v="Bryon"/>
        <s v="Doug"/>
        <s v="Clint"/>
        <s v="Harmony"/>
        <s v="Chad"/>
        <s v="Hailey"/>
        <s v="John"/>
        <s v="Harry"/>
        <s v="Carol"/>
        <s v="Rufus"/>
        <s v="Daniel"/>
        <s v="Rihanna"/>
        <s v="Maddison"/>
        <s v="Shay"/>
        <s v="Adina"/>
        <s v="Charlotte"/>
        <s v="Gabriel"/>
        <s v="Ramon"/>
        <s v="Mary"/>
        <s v="Carl"/>
        <s v="Raquel"/>
        <s v="Georgia"/>
        <s v="Noah"/>
        <s v="Anne"/>
        <s v="Lucas"/>
        <s v="Andrea"/>
        <s v="Adela"/>
        <s v="Michelle"/>
        <s v="Mara"/>
        <s v="Oliver"/>
        <s v="Sydney"/>
        <s v="Alexander"/>
        <s v="Erica"/>
        <s v="Ally"/>
        <s v="Sienna"/>
        <s v="Mya"/>
        <s v="Enoch"/>
        <s v="Jane"/>
        <s v="Britney"/>
        <s v="Anthony"/>
        <s v="Elijah"/>
        <s v="Jules"/>
        <s v="Ethan"/>
        <s v="Scarlett"/>
        <s v="Jasmine"/>
        <s v="Alba"/>
        <s v="Margot"/>
        <s v="Mayleen"/>
        <s v="Julian"/>
        <m u="1"/>
        <s v="Jihad" u="1"/>
      </sharedItems>
    </cacheField>
    <cacheField name="Area" numFmtId="0">
      <sharedItems containsBlank="1" count="5">
        <s v="California"/>
        <s v="Arizona"/>
        <s v="Utah"/>
        <s v="Nevada"/>
        <m u="1"/>
      </sharedItems>
    </cacheField>
    <cacheField name="Year" numFmtId="0">
      <sharedItems containsSemiMixedTypes="0" containsString="0" containsNumber="1" containsInteger="1" minValue="2015" maxValue="2020" count="6">
        <n v="2015"/>
        <n v="2017"/>
        <n v="2016"/>
        <n v="2018"/>
        <n v="2019"/>
        <n v="2020"/>
      </sharedItems>
    </cacheField>
    <cacheField name="Product" numFmtId="0">
      <sharedItems containsBlank="1" count="5">
        <s v="Laptop"/>
        <s v="Phone"/>
        <s v="Screen"/>
        <s v="Computer"/>
        <m u="1"/>
      </sharedItems>
    </cacheField>
    <cacheField name="Price" numFmtId="0">
      <sharedItems containsSemiMixedTypes="0" containsString="0" containsNumber="1" containsInteger="1" minValue="150" maxValue="650"/>
    </cacheField>
    <cacheField name="Amount" numFmtId="0">
      <sharedItems containsSemiMixedTypes="0" containsString="0" containsNumber="1" containsInteger="1" minValue="3" maxValue="7"/>
    </cacheField>
    <cacheField name="Total Sales" numFmtId="0">
      <sharedItems containsSemiMixedTypes="0" containsString="0" containsNumber="1" containsInteger="1" minValue="450" maxValue="4550"/>
    </cacheField>
    <cacheField name="Month" numFmtId="0">
      <sharedItems containsBlank="1" count="14">
        <s v="Jan"/>
        <s v="Feb"/>
        <s v="Mar"/>
        <s v="Apr"/>
        <s v="May"/>
        <s v="Jun"/>
        <s v="Jul"/>
        <s v="Aug"/>
        <s v="Sep"/>
        <s v="Dec"/>
        <s v="June"/>
        <s v="Oct"/>
        <s v="Nov"/>
        <m u="1"/>
      </sharedItems>
    </cacheField>
    <cacheField name="Sales Channel" numFmtId="0">
      <sharedItems containsBlank="1" count="4">
        <s v="Computer"/>
        <s v="App"/>
        <s v="Telephone"/>
        <m u="1"/>
      </sharedItems>
    </cacheField>
    <cacheField name="Faulty" numFmtId="0">
      <sharedItems containsBlank="1" count="3">
        <s v="Yes"/>
        <s v="No"/>
        <m u="1"/>
      </sharedItems>
    </cacheField>
    <cacheField name="Rating" numFmtId="0">
      <sharedItems containsBlank="1" count="6">
        <s v="5 Stars"/>
        <s v="2 Stars"/>
        <s v="3 Stars"/>
        <s v="4 Stars"/>
        <s v="1 Star"/>
        <m u="1"/>
      </sharedItems>
    </cacheField>
  </cacheFields>
  <extLst>
    <ext xmlns:x14="http://schemas.microsoft.com/office/spreadsheetml/2009/9/main" uri="{725AE2AE-9491-48be-B2B4-4EB974FC3084}">
      <x14:pivotCacheDefinition pivotCacheId="9717971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3">
  <r>
    <x v="0"/>
    <x v="0"/>
    <x v="0"/>
    <x v="0"/>
    <n v="650"/>
    <n v="3"/>
    <n v="1950"/>
    <x v="0"/>
    <x v="0"/>
    <x v="0"/>
    <x v="0"/>
  </r>
  <r>
    <x v="1"/>
    <x v="0"/>
    <x v="0"/>
    <x v="0"/>
    <n v="650"/>
    <n v="3"/>
    <n v="1950"/>
    <x v="0"/>
    <x v="0"/>
    <x v="1"/>
    <x v="1"/>
  </r>
  <r>
    <x v="2"/>
    <x v="0"/>
    <x v="0"/>
    <x v="0"/>
    <n v="650"/>
    <n v="4"/>
    <n v="2600"/>
    <x v="0"/>
    <x v="1"/>
    <x v="1"/>
    <x v="0"/>
  </r>
  <r>
    <x v="3"/>
    <x v="0"/>
    <x v="0"/>
    <x v="0"/>
    <n v="650"/>
    <n v="4"/>
    <n v="2600"/>
    <x v="1"/>
    <x v="2"/>
    <x v="1"/>
    <x v="2"/>
  </r>
  <r>
    <x v="4"/>
    <x v="0"/>
    <x v="0"/>
    <x v="1"/>
    <n v="300"/>
    <n v="3"/>
    <n v="900"/>
    <x v="1"/>
    <x v="1"/>
    <x v="0"/>
    <x v="1"/>
  </r>
  <r>
    <x v="5"/>
    <x v="1"/>
    <x v="0"/>
    <x v="1"/>
    <n v="300"/>
    <n v="3"/>
    <n v="900"/>
    <x v="1"/>
    <x v="0"/>
    <x v="0"/>
    <x v="3"/>
  </r>
  <r>
    <x v="6"/>
    <x v="1"/>
    <x v="0"/>
    <x v="2"/>
    <n v="150"/>
    <n v="7"/>
    <n v="1050"/>
    <x v="2"/>
    <x v="0"/>
    <x v="1"/>
    <x v="3"/>
  </r>
  <r>
    <x v="7"/>
    <x v="1"/>
    <x v="0"/>
    <x v="3"/>
    <n v="425"/>
    <n v="4"/>
    <n v="1700"/>
    <x v="2"/>
    <x v="1"/>
    <x v="1"/>
    <x v="3"/>
  </r>
  <r>
    <x v="8"/>
    <x v="1"/>
    <x v="0"/>
    <x v="3"/>
    <n v="425"/>
    <n v="7"/>
    <n v="2975"/>
    <x v="3"/>
    <x v="2"/>
    <x v="1"/>
    <x v="0"/>
  </r>
  <r>
    <x v="9"/>
    <x v="1"/>
    <x v="0"/>
    <x v="3"/>
    <n v="425"/>
    <n v="5"/>
    <n v="2125"/>
    <x v="4"/>
    <x v="1"/>
    <x v="0"/>
    <x v="0"/>
  </r>
  <r>
    <x v="10"/>
    <x v="1"/>
    <x v="0"/>
    <x v="2"/>
    <n v="150"/>
    <n v="4"/>
    <n v="600"/>
    <x v="5"/>
    <x v="2"/>
    <x v="0"/>
    <x v="0"/>
  </r>
  <r>
    <x v="11"/>
    <x v="1"/>
    <x v="0"/>
    <x v="0"/>
    <n v="650"/>
    <n v="7"/>
    <n v="4550"/>
    <x v="6"/>
    <x v="1"/>
    <x v="1"/>
    <x v="2"/>
  </r>
  <r>
    <x v="12"/>
    <x v="1"/>
    <x v="0"/>
    <x v="3"/>
    <n v="425"/>
    <n v="4"/>
    <n v="1700"/>
    <x v="7"/>
    <x v="0"/>
    <x v="1"/>
    <x v="0"/>
  </r>
  <r>
    <x v="13"/>
    <x v="1"/>
    <x v="0"/>
    <x v="1"/>
    <n v="300"/>
    <n v="4"/>
    <n v="1200"/>
    <x v="7"/>
    <x v="0"/>
    <x v="1"/>
    <x v="3"/>
  </r>
  <r>
    <x v="14"/>
    <x v="1"/>
    <x v="0"/>
    <x v="0"/>
    <n v="650"/>
    <n v="3"/>
    <n v="1950"/>
    <x v="7"/>
    <x v="1"/>
    <x v="0"/>
    <x v="3"/>
  </r>
  <r>
    <x v="15"/>
    <x v="2"/>
    <x v="0"/>
    <x v="3"/>
    <n v="425"/>
    <n v="5"/>
    <n v="2125"/>
    <x v="8"/>
    <x v="2"/>
    <x v="0"/>
    <x v="3"/>
  </r>
  <r>
    <x v="16"/>
    <x v="2"/>
    <x v="0"/>
    <x v="1"/>
    <n v="300"/>
    <n v="6"/>
    <n v="1800"/>
    <x v="8"/>
    <x v="1"/>
    <x v="1"/>
    <x v="1"/>
  </r>
  <r>
    <x v="17"/>
    <x v="2"/>
    <x v="0"/>
    <x v="2"/>
    <n v="150"/>
    <n v="4"/>
    <n v="600"/>
    <x v="8"/>
    <x v="0"/>
    <x v="1"/>
    <x v="4"/>
  </r>
  <r>
    <x v="18"/>
    <x v="2"/>
    <x v="0"/>
    <x v="1"/>
    <n v="300"/>
    <n v="5"/>
    <n v="1500"/>
    <x v="8"/>
    <x v="0"/>
    <x v="1"/>
    <x v="2"/>
  </r>
  <r>
    <x v="19"/>
    <x v="2"/>
    <x v="0"/>
    <x v="0"/>
    <n v="650"/>
    <n v="6"/>
    <n v="3900"/>
    <x v="9"/>
    <x v="1"/>
    <x v="1"/>
    <x v="2"/>
  </r>
  <r>
    <x v="20"/>
    <x v="2"/>
    <x v="0"/>
    <x v="3"/>
    <n v="425"/>
    <n v="4"/>
    <n v="1700"/>
    <x v="9"/>
    <x v="2"/>
    <x v="0"/>
    <x v="0"/>
  </r>
  <r>
    <x v="21"/>
    <x v="2"/>
    <x v="0"/>
    <x v="1"/>
    <n v="300"/>
    <n v="4"/>
    <n v="1200"/>
    <x v="9"/>
    <x v="1"/>
    <x v="0"/>
    <x v="0"/>
  </r>
  <r>
    <x v="22"/>
    <x v="3"/>
    <x v="1"/>
    <x v="0"/>
    <n v="650"/>
    <n v="5"/>
    <n v="3250"/>
    <x v="9"/>
    <x v="0"/>
    <x v="1"/>
    <x v="1"/>
  </r>
  <r>
    <x v="23"/>
    <x v="0"/>
    <x v="2"/>
    <x v="0"/>
    <n v="650"/>
    <n v="5"/>
    <n v="3250"/>
    <x v="0"/>
    <x v="0"/>
    <x v="1"/>
    <x v="3"/>
  </r>
  <r>
    <x v="24"/>
    <x v="0"/>
    <x v="2"/>
    <x v="0"/>
    <n v="650"/>
    <n v="4"/>
    <n v="2600"/>
    <x v="0"/>
    <x v="1"/>
    <x v="1"/>
    <x v="3"/>
  </r>
  <r>
    <x v="25"/>
    <x v="0"/>
    <x v="2"/>
    <x v="1"/>
    <n v="300"/>
    <n v="5"/>
    <n v="1500"/>
    <x v="0"/>
    <x v="2"/>
    <x v="1"/>
    <x v="3"/>
  </r>
  <r>
    <x v="26"/>
    <x v="0"/>
    <x v="2"/>
    <x v="1"/>
    <n v="300"/>
    <n v="7"/>
    <n v="2100"/>
    <x v="1"/>
    <x v="1"/>
    <x v="0"/>
    <x v="0"/>
  </r>
  <r>
    <x v="27"/>
    <x v="0"/>
    <x v="2"/>
    <x v="2"/>
    <n v="150"/>
    <n v="5"/>
    <n v="750"/>
    <x v="1"/>
    <x v="0"/>
    <x v="0"/>
    <x v="0"/>
  </r>
  <r>
    <x v="28"/>
    <x v="1"/>
    <x v="2"/>
    <x v="3"/>
    <n v="425"/>
    <n v="4"/>
    <n v="1700"/>
    <x v="1"/>
    <x v="0"/>
    <x v="1"/>
    <x v="0"/>
  </r>
  <r>
    <x v="21"/>
    <x v="1"/>
    <x v="2"/>
    <x v="3"/>
    <n v="425"/>
    <n v="7"/>
    <n v="2975"/>
    <x v="2"/>
    <x v="1"/>
    <x v="0"/>
    <x v="2"/>
  </r>
  <r>
    <x v="29"/>
    <x v="1"/>
    <x v="2"/>
    <x v="0"/>
    <n v="650"/>
    <n v="3"/>
    <n v="1950"/>
    <x v="3"/>
    <x v="2"/>
    <x v="1"/>
    <x v="1"/>
  </r>
  <r>
    <x v="30"/>
    <x v="1"/>
    <x v="2"/>
    <x v="0"/>
    <n v="650"/>
    <n v="3"/>
    <n v="1950"/>
    <x v="4"/>
    <x v="1"/>
    <x v="1"/>
    <x v="3"/>
  </r>
  <r>
    <x v="30"/>
    <x v="1"/>
    <x v="2"/>
    <x v="0"/>
    <n v="650"/>
    <n v="5"/>
    <n v="3250"/>
    <x v="4"/>
    <x v="0"/>
    <x v="1"/>
    <x v="3"/>
  </r>
  <r>
    <x v="8"/>
    <x v="1"/>
    <x v="2"/>
    <x v="0"/>
    <n v="650"/>
    <n v="5"/>
    <n v="3250"/>
    <x v="5"/>
    <x v="0"/>
    <x v="0"/>
    <x v="0"/>
  </r>
  <r>
    <x v="31"/>
    <x v="1"/>
    <x v="2"/>
    <x v="1"/>
    <n v="300"/>
    <n v="4"/>
    <n v="1200"/>
    <x v="6"/>
    <x v="1"/>
    <x v="0"/>
    <x v="0"/>
  </r>
  <r>
    <x v="29"/>
    <x v="1"/>
    <x v="2"/>
    <x v="1"/>
    <n v="300"/>
    <n v="4"/>
    <n v="1200"/>
    <x v="7"/>
    <x v="2"/>
    <x v="1"/>
    <x v="0"/>
  </r>
  <r>
    <x v="0"/>
    <x v="2"/>
    <x v="2"/>
    <x v="2"/>
    <n v="150"/>
    <n v="4"/>
    <n v="600"/>
    <x v="7"/>
    <x v="1"/>
    <x v="1"/>
    <x v="2"/>
  </r>
  <r>
    <x v="32"/>
    <x v="2"/>
    <x v="2"/>
    <x v="3"/>
    <n v="425"/>
    <n v="5"/>
    <n v="2125"/>
    <x v="7"/>
    <x v="0"/>
    <x v="1"/>
    <x v="2"/>
  </r>
  <r>
    <x v="33"/>
    <x v="2"/>
    <x v="2"/>
    <x v="3"/>
    <n v="425"/>
    <n v="4"/>
    <n v="1700"/>
    <x v="8"/>
    <x v="0"/>
    <x v="1"/>
    <x v="0"/>
  </r>
  <r>
    <x v="34"/>
    <x v="2"/>
    <x v="2"/>
    <x v="3"/>
    <n v="425"/>
    <n v="7"/>
    <n v="2975"/>
    <x v="8"/>
    <x v="0"/>
    <x v="1"/>
    <x v="3"/>
  </r>
  <r>
    <x v="35"/>
    <x v="2"/>
    <x v="2"/>
    <x v="2"/>
    <n v="150"/>
    <n v="7"/>
    <n v="1050"/>
    <x v="8"/>
    <x v="1"/>
    <x v="0"/>
    <x v="3"/>
  </r>
  <r>
    <x v="36"/>
    <x v="2"/>
    <x v="2"/>
    <x v="0"/>
    <n v="650"/>
    <n v="6"/>
    <n v="3900"/>
    <x v="8"/>
    <x v="2"/>
    <x v="0"/>
    <x v="3"/>
  </r>
  <r>
    <x v="37"/>
    <x v="2"/>
    <x v="2"/>
    <x v="3"/>
    <n v="425"/>
    <n v="6"/>
    <n v="2550"/>
    <x v="9"/>
    <x v="1"/>
    <x v="1"/>
    <x v="1"/>
  </r>
  <r>
    <x v="38"/>
    <x v="2"/>
    <x v="2"/>
    <x v="1"/>
    <n v="300"/>
    <n v="3"/>
    <n v="900"/>
    <x v="9"/>
    <x v="0"/>
    <x v="1"/>
    <x v="4"/>
  </r>
  <r>
    <x v="39"/>
    <x v="2"/>
    <x v="2"/>
    <x v="0"/>
    <n v="650"/>
    <n v="7"/>
    <n v="4550"/>
    <x v="9"/>
    <x v="0"/>
    <x v="1"/>
    <x v="2"/>
  </r>
  <r>
    <x v="40"/>
    <x v="2"/>
    <x v="2"/>
    <x v="3"/>
    <n v="425"/>
    <n v="5"/>
    <n v="2125"/>
    <x v="9"/>
    <x v="0"/>
    <x v="1"/>
    <x v="2"/>
  </r>
  <r>
    <x v="41"/>
    <x v="0"/>
    <x v="1"/>
    <x v="1"/>
    <n v="300"/>
    <n v="3"/>
    <n v="900"/>
    <x v="0"/>
    <x v="1"/>
    <x v="1"/>
    <x v="0"/>
  </r>
  <r>
    <x v="42"/>
    <x v="0"/>
    <x v="1"/>
    <x v="2"/>
    <n v="150"/>
    <n v="4"/>
    <n v="600"/>
    <x v="0"/>
    <x v="2"/>
    <x v="0"/>
    <x v="0"/>
  </r>
  <r>
    <x v="1"/>
    <x v="0"/>
    <x v="1"/>
    <x v="0"/>
    <n v="650"/>
    <n v="6"/>
    <n v="3900"/>
    <x v="0"/>
    <x v="1"/>
    <x v="0"/>
    <x v="1"/>
  </r>
  <r>
    <x v="43"/>
    <x v="1"/>
    <x v="1"/>
    <x v="0"/>
    <n v="650"/>
    <n v="3"/>
    <n v="1950"/>
    <x v="1"/>
    <x v="0"/>
    <x v="1"/>
    <x v="3"/>
  </r>
  <r>
    <x v="44"/>
    <x v="1"/>
    <x v="1"/>
    <x v="0"/>
    <n v="650"/>
    <n v="5"/>
    <n v="3250"/>
    <x v="1"/>
    <x v="0"/>
    <x v="1"/>
    <x v="3"/>
  </r>
  <r>
    <x v="45"/>
    <x v="1"/>
    <x v="1"/>
    <x v="0"/>
    <n v="650"/>
    <n v="4"/>
    <n v="2600"/>
    <x v="1"/>
    <x v="0"/>
    <x v="1"/>
    <x v="0"/>
  </r>
  <r>
    <x v="46"/>
    <x v="1"/>
    <x v="1"/>
    <x v="1"/>
    <n v="300"/>
    <n v="4"/>
    <n v="1200"/>
    <x v="2"/>
    <x v="1"/>
    <x v="1"/>
    <x v="0"/>
  </r>
  <r>
    <x v="47"/>
    <x v="1"/>
    <x v="1"/>
    <x v="1"/>
    <n v="300"/>
    <n v="6"/>
    <n v="1800"/>
    <x v="2"/>
    <x v="2"/>
    <x v="1"/>
    <x v="0"/>
  </r>
  <r>
    <x v="48"/>
    <x v="1"/>
    <x v="1"/>
    <x v="2"/>
    <n v="150"/>
    <n v="5"/>
    <n v="750"/>
    <x v="3"/>
    <x v="0"/>
    <x v="0"/>
    <x v="0"/>
  </r>
  <r>
    <x v="49"/>
    <x v="2"/>
    <x v="1"/>
    <x v="3"/>
    <n v="425"/>
    <n v="6"/>
    <n v="2550"/>
    <x v="4"/>
    <x v="0"/>
    <x v="0"/>
    <x v="0"/>
  </r>
  <r>
    <x v="50"/>
    <x v="2"/>
    <x v="1"/>
    <x v="3"/>
    <n v="425"/>
    <n v="6"/>
    <n v="2550"/>
    <x v="5"/>
    <x v="0"/>
    <x v="1"/>
    <x v="0"/>
  </r>
  <r>
    <x v="6"/>
    <x v="2"/>
    <x v="1"/>
    <x v="3"/>
    <n v="425"/>
    <n v="5"/>
    <n v="2125"/>
    <x v="6"/>
    <x v="1"/>
    <x v="1"/>
    <x v="1"/>
  </r>
  <r>
    <x v="51"/>
    <x v="2"/>
    <x v="1"/>
    <x v="2"/>
    <n v="150"/>
    <n v="4"/>
    <n v="600"/>
    <x v="7"/>
    <x v="2"/>
    <x v="1"/>
    <x v="3"/>
  </r>
  <r>
    <x v="52"/>
    <x v="2"/>
    <x v="1"/>
    <x v="0"/>
    <n v="650"/>
    <n v="3"/>
    <n v="1950"/>
    <x v="7"/>
    <x v="0"/>
    <x v="1"/>
    <x v="3"/>
  </r>
  <r>
    <x v="53"/>
    <x v="3"/>
    <x v="1"/>
    <x v="3"/>
    <n v="425"/>
    <n v="5"/>
    <n v="2125"/>
    <x v="7"/>
    <x v="0"/>
    <x v="1"/>
    <x v="3"/>
  </r>
  <r>
    <x v="54"/>
    <x v="0"/>
    <x v="1"/>
    <x v="1"/>
    <n v="300"/>
    <n v="3"/>
    <n v="900"/>
    <x v="8"/>
    <x v="0"/>
    <x v="0"/>
    <x v="0"/>
  </r>
  <r>
    <x v="6"/>
    <x v="0"/>
    <x v="1"/>
    <x v="0"/>
    <n v="650"/>
    <n v="4"/>
    <n v="2600"/>
    <x v="8"/>
    <x v="1"/>
    <x v="0"/>
    <x v="0"/>
  </r>
  <r>
    <x v="55"/>
    <x v="0"/>
    <x v="1"/>
    <x v="3"/>
    <n v="425"/>
    <n v="6"/>
    <n v="2550"/>
    <x v="8"/>
    <x v="2"/>
    <x v="1"/>
    <x v="0"/>
  </r>
  <r>
    <x v="6"/>
    <x v="0"/>
    <x v="1"/>
    <x v="1"/>
    <n v="300"/>
    <n v="4"/>
    <n v="1200"/>
    <x v="8"/>
    <x v="0"/>
    <x v="1"/>
    <x v="2"/>
  </r>
  <r>
    <x v="56"/>
    <x v="1"/>
    <x v="1"/>
    <x v="2"/>
    <n v="150"/>
    <n v="6"/>
    <n v="900"/>
    <x v="9"/>
    <x v="0"/>
    <x v="1"/>
    <x v="1"/>
  </r>
  <r>
    <x v="57"/>
    <x v="0"/>
    <x v="3"/>
    <x v="2"/>
    <n v="150"/>
    <n v="5"/>
    <n v="750"/>
    <x v="0"/>
    <x v="0"/>
    <x v="1"/>
    <x v="3"/>
  </r>
  <r>
    <x v="58"/>
    <x v="0"/>
    <x v="3"/>
    <x v="3"/>
    <n v="425"/>
    <n v="5"/>
    <n v="2125"/>
    <x v="0"/>
    <x v="1"/>
    <x v="1"/>
    <x v="3"/>
  </r>
  <r>
    <x v="47"/>
    <x v="0"/>
    <x v="3"/>
    <x v="3"/>
    <n v="425"/>
    <n v="4"/>
    <n v="1700"/>
    <x v="0"/>
    <x v="2"/>
    <x v="0"/>
    <x v="3"/>
  </r>
  <r>
    <x v="59"/>
    <x v="0"/>
    <x v="3"/>
    <x v="3"/>
    <n v="425"/>
    <n v="3"/>
    <n v="1275"/>
    <x v="1"/>
    <x v="0"/>
    <x v="0"/>
    <x v="4"/>
  </r>
  <r>
    <x v="60"/>
    <x v="1"/>
    <x v="3"/>
    <x v="2"/>
    <n v="150"/>
    <n v="3"/>
    <n v="450"/>
    <x v="1"/>
    <x v="0"/>
    <x v="1"/>
    <x v="0"/>
  </r>
  <r>
    <x v="61"/>
    <x v="1"/>
    <x v="3"/>
    <x v="0"/>
    <n v="650"/>
    <n v="4"/>
    <n v="2600"/>
    <x v="1"/>
    <x v="0"/>
    <x v="1"/>
    <x v="0"/>
  </r>
  <r>
    <x v="62"/>
    <x v="1"/>
    <x v="3"/>
    <x v="3"/>
    <n v="425"/>
    <n v="4"/>
    <n v="1700"/>
    <x v="2"/>
    <x v="1"/>
    <x v="1"/>
    <x v="0"/>
  </r>
  <r>
    <x v="63"/>
    <x v="1"/>
    <x v="3"/>
    <x v="1"/>
    <n v="300"/>
    <n v="3"/>
    <n v="900"/>
    <x v="2"/>
    <x v="0"/>
    <x v="1"/>
    <x v="0"/>
  </r>
  <r>
    <x v="18"/>
    <x v="1"/>
    <x v="3"/>
    <x v="0"/>
    <n v="650"/>
    <n v="5"/>
    <n v="3250"/>
    <x v="3"/>
    <x v="1"/>
    <x v="1"/>
    <x v="3"/>
  </r>
  <r>
    <x v="64"/>
    <x v="1"/>
    <x v="3"/>
    <x v="2"/>
    <n v="150"/>
    <n v="7"/>
    <n v="1050"/>
    <x v="4"/>
    <x v="2"/>
    <x v="1"/>
    <x v="3"/>
  </r>
  <r>
    <x v="65"/>
    <x v="1"/>
    <x v="3"/>
    <x v="3"/>
    <n v="425"/>
    <n v="3"/>
    <n v="1275"/>
    <x v="5"/>
    <x v="0"/>
    <x v="1"/>
    <x v="3"/>
  </r>
  <r>
    <x v="66"/>
    <x v="1"/>
    <x v="3"/>
    <x v="3"/>
    <n v="425"/>
    <n v="3"/>
    <n v="1275"/>
    <x v="6"/>
    <x v="0"/>
    <x v="1"/>
    <x v="1"/>
  </r>
  <r>
    <x v="67"/>
    <x v="2"/>
    <x v="3"/>
    <x v="3"/>
    <n v="425"/>
    <n v="6"/>
    <n v="2550"/>
    <x v="7"/>
    <x v="0"/>
    <x v="0"/>
    <x v="4"/>
  </r>
  <r>
    <x v="68"/>
    <x v="2"/>
    <x v="3"/>
    <x v="2"/>
    <n v="150"/>
    <n v="6"/>
    <n v="900"/>
    <x v="7"/>
    <x v="1"/>
    <x v="0"/>
    <x v="2"/>
  </r>
  <r>
    <x v="69"/>
    <x v="2"/>
    <x v="3"/>
    <x v="0"/>
    <n v="650"/>
    <n v="5"/>
    <n v="3250"/>
    <x v="7"/>
    <x v="2"/>
    <x v="1"/>
    <x v="2"/>
  </r>
  <r>
    <x v="47"/>
    <x v="2"/>
    <x v="3"/>
    <x v="3"/>
    <n v="425"/>
    <n v="7"/>
    <n v="2975"/>
    <x v="8"/>
    <x v="0"/>
    <x v="1"/>
    <x v="2"/>
  </r>
  <r>
    <x v="70"/>
    <x v="3"/>
    <x v="3"/>
    <x v="1"/>
    <n v="300"/>
    <n v="6"/>
    <n v="1800"/>
    <x v="8"/>
    <x v="0"/>
    <x v="0"/>
    <x v="0"/>
  </r>
  <r>
    <x v="71"/>
    <x v="3"/>
    <x v="3"/>
    <x v="0"/>
    <n v="650"/>
    <n v="5"/>
    <n v="3250"/>
    <x v="8"/>
    <x v="0"/>
    <x v="0"/>
    <x v="0"/>
  </r>
  <r>
    <x v="72"/>
    <x v="3"/>
    <x v="3"/>
    <x v="2"/>
    <n v="150"/>
    <n v="3"/>
    <n v="450"/>
    <x v="8"/>
    <x v="1"/>
    <x v="1"/>
    <x v="1"/>
  </r>
  <r>
    <x v="73"/>
    <x v="3"/>
    <x v="3"/>
    <x v="3"/>
    <n v="425"/>
    <n v="6"/>
    <n v="2550"/>
    <x v="9"/>
    <x v="0"/>
    <x v="1"/>
    <x v="3"/>
  </r>
  <r>
    <x v="41"/>
    <x v="0"/>
    <x v="4"/>
    <x v="3"/>
    <n v="425"/>
    <n v="6"/>
    <n v="2550"/>
    <x v="0"/>
    <x v="1"/>
    <x v="1"/>
    <x v="3"/>
  </r>
  <r>
    <x v="42"/>
    <x v="0"/>
    <x v="4"/>
    <x v="3"/>
    <n v="425"/>
    <n v="4"/>
    <n v="1700"/>
    <x v="1"/>
    <x v="2"/>
    <x v="1"/>
    <x v="3"/>
  </r>
  <r>
    <x v="1"/>
    <x v="0"/>
    <x v="4"/>
    <x v="2"/>
    <n v="150"/>
    <n v="6"/>
    <n v="900"/>
    <x v="1"/>
    <x v="0"/>
    <x v="0"/>
    <x v="0"/>
  </r>
  <r>
    <x v="43"/>
    <x v="1"/>
    <x v="4"/>
    <x v="0"/>
    <n v="650"/>
    <n v="7"/>
    <n v="4550"/>
    <x v="2"/>
    <x v="0"/>
    <x v="0"/>
    <x v="0"/>
  </r>
  <r>
    <x v="44"/>
    <x v="1"/>
    <x v="4"/>
    <x v="3"/>
    <n v="425"/>
    <n v="4"/>
    <n v="1700"/>
    <x v="3"/>
    <x v="0"/>
    <x v="1"/>
    <x v="0"/>
  </r>
  <r>
    <x v="45"/>
    <x v="1"/>
    <x v="4"/>
    <x v="1"/>
    <n v="300"/>
    <n v="6"/>
    <n v="1800"/>
    <x v="4"/>
    <x v="1"/>
    <x v="0"/>
    <x v="2"/>
  </r>
  <r>
    <x v="46"/>
    <x v="1"/>
    <x v="4"/>
    <x v="0"/>
    <n v="650"/>
    <n v="3"/>
    <n v="1950"/>
    <x v="10"/>
    <x v="2"/>
    <x v="1"/>
    <x v="1"/>
  </r>
  <r>
    <x v="47"/>
    <x v="1"/>
    <x v="4"/>
    <x v="2"/>
    <n v="150"/>
    <n v="4"/>
    <n v="600"/>
    <x v="6"/>
    <x v="0"/>
    <x v="1"/>
    <x v="0"/>
  </r>
  <r>
    <x v="48"/>
    <x v="1"/>
    <x v="4"/>
    <x v="3"/>
    <n v="425"/>
    <n v="7"/>
    <n v="2975"/>
    <x v="7"/>
    <x v="0"/>
    <x v="1"/>
    <x v="0"/>
  </r>
  <r>
    <x v="49"/>
    <x v="2"/>
    <x v="4"/>
    <x v="3"/>
    <n v="425"/>
    <n v="4"/>
    <n v="1700"/>
    <x v="7"/>
    <x v="0"/>
    <x v="0"/>
    <x v="0"/>
  </r>
  <r>
    <x v="50"/>
    <x v="2"/>
    <x v="4"/>
    <x v="3"/>
    <n v="425"/>
    <n v="3"/>
    <n v="1275"/>
    <x v="8"/>
    <x v="1"/>
    <x v="0"/>
    <x v="0"/>
  </r>
  <r>
    <x v="6"/>
    <x v="2"/>
    <x v="4"/>
    <x v="2"/>
    <n v="150"/>
    <n v="4"/>
    <n v="600"/>
    <x v="11"/>
    <x v="0"/>
    <x v="1"/>
    <x v="0"/>
  </r>
  <r>
    <x v="51"/>
    <x v="2"/>
    <x v="4"/>
    <x v="0"/>
    <n v="650"/>
    <n v="4"/>
    <n v="2600"/>
    <x v="12"/>
    <x v="1"/>
    <x v="1"/>
    <x v="0"/>
  </r>
  <r>
    <x v="52"/>
    <x v="2"/>
    <x v="4"/>
    <x v="3"/>
    <n v="425"/>
    <n v="6"/>
    <n v="2550"/>
    <x v="9"/>
    <x v="2"/>
    <x v="1"/>
    <x v="2"/>
  </r>
  <r>
    <x v="53"/>
    <x v="3"/>
    <x v="4"/>
    <x v="1"/>
    <n v="300"/>
    <n v="4"/>
    <n v="1200"/>
    <x v="9"/>
    <x v="0"/>
    <x v="1"/>
    <x v="0"/>
  </r>
  <r>
    <x v="54"/>
    <x v="0"/>
    <x v="5"/>
    <x v="0"/>
    <n v="650"/>
    <n v="3"/>
    <n v="1950"/>
    <x v="0"/>
    <x v="0"/>
    <x v="1"/>
    <x v="3"/>
  </r>
  <r>
    <x v="6"/>
    <x v="0"/>
    <x v="5"/>
    <x v="0"/>
    <n v="650"/>
    <n v="5"/>
    <n v="3250"/>
    <x v="0"/>
    <x v="0"/>
    <x v="1"/>
    <x v="3"/>
  </r>
  <r>
    <x v="55"/>
    <x v="0"/>
    <x v="5"/>
    <x v="2"/>
    <n v="150"/>
    <n v="5"/>
    <n v="750"/>
    <x v="0"/>
    <x v="0"/>
    <x v="1"/>
    <x v="3"/>
  </r>
  <r>
    <x v="6"/>
    <x v="0"/>
    <x v="5"/>
    <x v="3"/>
    <n v="425"/>
    <n v="6"/>
    <n v="2550"/>
    <x v="1"/>
    <x v="1"/>
    <x v="1"/>
    <x v="1"/>
  </r>
  <r>
    <x v="56"/>
    <x v="1"/>
    <x v="5"/>
    <x v="1"/>
    <n v="425"/>
    <n v="6"/>
    <n v="2550"/>
    <x v="1"/>
    <x v="2"/>
    <x v="0"/>
    <x v="4"/>
  </r>
  <r>
    <x v="74"/>
    <x v="1"/>
    <x v="5"/>
    <x v="3"/>
    <n v="425"/>
    <n v="5"/>
    <n v="2125"/>
    <x v="1"/>
    <x v="0"/>
    <x v="0"/>
    <x v="2"/>
  </r>
  <r>
    <x v="75"/>
    <x v="1"/>
    <x v="5"/>
    <x v="2"/>
    <n v="150"/>
    <n v="7"/>
    <n v="1050"/>
    <x v="2"/>
    <x v="0"/>
    <x v="1"/>
    <x v="2"/>
  </r>
  <r>
    <x v="76"/>
    <x v="1"/>
    <x v="5"/>
    <x v="0"/>
    <n v="650"/>
    <n v="7"/>
    <n v="4550"/>
    <x v="2"/>
    <x v="0"/>
    <x v="0"/>
    <x v="4"/>
  </r>
  <r>
    <x v="17"/>
    <x v="1"/>
    <x v="5"/>
    <x v="2"/>
    <n v="150"/>
    <n v="6"/>
    <n v="900"/>
    <x v="3"/>
    <x v="1"/>
    <x v="1"/>
    <x v="2"/>
  </r>
  <r>
    <x v="1"/>
    <x v="1"/>
    <x v="5"/>
    <x v="3"/>
    <n v="425"/>
    <n v="7"/>
    <n v="2975"/>
    <x v="4"/>
    <x v="0"/>
    <x v="1"/>
    <x v="2"/>
  </r>
  <r>
    <x v="77"/>
    <x v="1"/>
    <x v="5"/>
    <x v="3"/>
    <n v="425"/>
    <n v="4"/>
    <n v="1700"/>
    <x v="5"/>
    <x v="1"/>
    <x v="1"/>
    <x v="2"/>
  </r>
  <r>
    <x v="78"/>
    <x v="1"/>
    <x v="5"/>
    <x v="3"/>
    <n v="425"/>
    <n v="7"/>
    <n v="2975"/>
    <x v="6"/>
    <x v="2"/>
    <x v="1"/>
    <x v="0"/>
  </r>
  <r>
    <x v="79"/>
    <x v="2"/>
    <x v="5"/>
    <x v="2"/>
    <n v="150"/>
    <n v="3"/>
    <n v="450"/>
    <x v="7"/>
    <x v="0"/>
    <x v="1"/>
    <x v="0"/>
  </r>
  <r>
    <x v="80"/>
    <x v="2"/>
    <x v="5"/>
    <x v="0"/>
    <n v="650"/>
    <n v="6"/>
    <n v="3900"/>
    <x v="7"/>
    <x v="0"/>
    <x v="1"/>
    <x v="0"/>
  </r>
  <r>
    <x v="81"/>
    <x v="2"/>
    <x v="5"/>
    <x v="2"/>
    <n v="150"/>
    <n v="7"/>
    <n v="1050"/>
    <x v="7"/>
    <x v="0"/>
    <x v="0"/>
    <x v="0"/>
  </r>
  <r>
    <x v="82"/>
    <x v="2"/>
    <x v="5"/>
    <x v="3"/>
    <n v="425"/>
    <n v="7"/>
    <n v="2975"/>
    <x v="8"/>
    <x v="0"/>
    <x v="1"/>
    <x v="1"/>
  </r>
  <r>
    <x v="83"/>
    <x v="2"/>
    <x v="5"/>
    <x v="3"/>
    <n v="425"/>
    <n v="5"/>
    <n v="2125"/>
    <x v="8"/>
    <x v="1"/>
    <x v="1"/>
    <x v="4"/>
  </r>
  <r>
    <x v="84"/>
    <x v="3"/>
    <x v="5"/>
    <x v="3"/>
    <n v="425"/>
    <n v="6"/>
    <n v="2550"/>
    <x v="8"/>
    <x v="2"/>
    <x v="1"/>
    <x v="2"/>
  </r>
  <r>
    <x v="53"/>
    <x v="3"/>
    <x v="5"/>
    <x v="1"/>
    <n v="300"/>
    <n v="4"/>
    <n v="1200"/>
    <x v="9"/>
    <x v="0"/>
    <x v="0"/>
    <x v="0"/>
  </r>
  <r>
    <x v="85"/>
    <x v="3"/>
    <x v="5"/>
    <x v="2"/>
    <n v="150"/>
    <n v="4"/>
    <n v="600"/>
    <x v="8"/>
    <x v="0"/>
    <x v="0"/>
    <x v="2"/>
  </r>
  <r>
    <x v="53"/>
    <x v="3"/>
    <x v="5"/>
    <x v="1"/>
    <n v="300"/>
    <n v="4"/>
    <n v="1200"/>
    <x v="9"/>
    <x v="0"/>
    <x v="1"/>
    <x v="0"/>
  </r>
  <r>
    <x v="86"/>
    <x v="3"/>
    <x v="5"/>
    <x v="3"/>
    <n v="425"/>
    <n v="3"/>
    <n v="1275"/>
    <x v="9"/>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6C7614-331C-40E5-830D-34F20FE4B31F}" name="PivotTable1" cacheId="2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rowHeaderCaption="Year.Month">
  <location ref="A3:B72" firstHeaderRow="1" firstDataRow="1" firstDataCol="1"/>
  <pivotFields count="11">
    <pivotField showAll="0"/>
    <pivotField showAll="0">
      <items count="6">
        <item x="1"/>
        <item x="0"/>
        <item x="3"/>
        <item x="2"/>
        <item m="1" x="4"/>
        <item t="default"/>
      </items>
    </pivotField>
    <pivotField axis="axisRow" showAll="0">
      <items count="7">
        <item x="0"/>
        <item x="2"/>
        <item x="1"/>
        <item x="3"/>
        <item x="4"/>
        <item x="5"/>
        <item t="default"/>
      </items>
    </pivotField>
    <pivotField showAll="0">
      <items count="6">
        <item x="3"/>
        <item x="0"/>
        <item x="1"/>
        <item x="2"/>
        <item m="1" x="4"/>
        <item t="default"/>
      </items>
    </pivotField>
    <pivotField showAll="0"/>
    <pivotField showAll="0"/>
    <pivotField dataField="1" showAll="0"/>
    <pivotField axis="axisRow" showAll="0">
      <items count="15">
        <item x="0"/>
        <item x="10"/>
        <item x="1"/>
        <item x="2"/>
        <item x="3"/>
        <item x="4"/>
        <item x="5"/>
        <item x="6"/>
        <item x="7"/>
        <item x="8"/>
        <item x="11"/>
        <item x="12"/>
        <item x="9"/>
        <item h="1" m="1" x="13"/>
        <item t="default"/>
      </items>
    </pivotField>
    <pivotField showAll="0">
      <items count="5">
        <item x="1"/>
        <item x="0"/>
        <item x="2"/>
        <item m="1" x="3"/>
        <item t="default"/>
      </items>
    </pivotField>
    <pivotField showAll="0"/>
    <pivotField showAll="0"/>
  </pivotFields>
  <rowFields count="2">
    <field x="2"/>
    <field x="7"/>
  </rowFields>
  <rowItems count="69">
    <i>
      <x/>
    </i>
    <i r="1">
      <x/>
    </i>
    <i r="1">
      <x v="2"/>
    </i>
    <i r="1">
      <x v="3"/>
    </i>
    <i r="1">
      <x v="4"/>
    </i>
    <i r="1">
      <x v="5"/>
    </i>
    <i r="1">
      <x v="6"/>
    </i>
    <i r="1">
      <x v="7"/>
    </i>
    <i r="1">
      <x v="8"/>
    </i>
    <i r="1">
      <x v="9"/>
    </i>
    <i r="1">
      <x v="12"/>
    </i>
    <i>
      <x v="1"/>
    </i>
    <i r="1">
      <x/>
    </i>
    <i r="1">
      <x v="2"/>
    </i>
    <i r="1">
      <x v="3"/>
    </i>
    <i r="1">
      <x v="4"/>
    </i>
    <i r="1">
      <x v="5"/>
    </i>
    <i r="1">
      <x v="6"/>
    </i>
    <i r="1">
      <x v="7"/>
    </i>
    <i r="1">
      <x v="8"/>
    </i>
    <i r="1">
      <x v="9"/>
    </i>
    <i r="1">
      <x v="12"/>
    </i>
    <i>
      <x v="2"/>
    </i>
    <i r="1">
      <x/>
    </i>
    <i r="1">
      <x v="2"/>
    </i>
    <i r="1">
      <x v="3"/>
    </i>
    <i r="1">
      <x v="4"/>
    </i>
    <i r="1">
      <x v="5"/>
    </i>
    <i r="1">
      <x v="6"/>
    </i>
    <i r="1">
      <x v="7"/>
    </i>
    <i r="1">
      <x v="8"/>
    </i>
    <i r="1">
      <x v="9"/>
    </i>
    <i r="1">
      <x v="12"/>
    </i>
    <i>
      <x v="3"/>
    </i>
    <i r="1">
      <x/>
    </i>
    <i r="1">
      <x v="2"/>
    </i>
    <i r="1">
      <x v="3"/>
    </i>
    <i r="1">
      <x v="4"/>
    </i>
    <i r="1">
      <x v="5"/>
    </i>
    <i r="1">
      <x v="6"/>
    </i>
    <i r="1">
      <x v="7"/>
    </i>
    <i r="1">
      <x v="8"/>
    </i>
    <i r="1">
      <x v="9"/>
    </i>
    <i r="1">
      <x v="12"/>
    </i>
    <i>
      <x v="4"/>
    </i>
    <i r="1">
      <x/>
    </i>
    <i r="1">
      <x v="1"/>
    </i>
    <i r="1">
      <x v="2"/>
    </i>
    <i r="1">
      <x v="3"/>
    </i>
    <i r="1">
      <x v="4"/>
    </i>
    <i r="1">
      <x v="5"/>
    </i>
    <i r="1">
      <x v="7"/>
    </i>
    <i r="1">
      <x v="8"/>
    </i>
    <i r="1">
      <x v="9"/>
    </i>
    <i r="1">
      <x v="10"/>
    </i>
    <i r="1">
      <x v="11"/>
    </i>
    <i r="1">
      <x v="12"/>
    </i>
    <i>
      <x v="5"/>
    </i>
    <i r="1">
      <x/>
    </i>
    <i r="1">
      <x v="2"/>
    </i>
    <i r="1">
      <x v="3"/>
    </i>
    <i r="1">
      <x v="4"/>
    </i>
    <i r="1">
      <x v="5"/>
    </i>
    <i r="1">
      <x v="6"/>
    </i>
    <i r="1">
      <x v="7"/>
    </i>
    <i r="1">
      <x v="8"/>
    </i>
    <i r="1">
      <x v="9"/>
    </i>
    <i r="1">
      <x v="12"/>
    </i>
    <i t="grand">
      <x/>
    </i>
  </rowItems>
  <colItems count="1">
    <i/>
  </colItems>
  <dataFields count="1">
    <dataField name="Total Sales " fld="6" baseField="0" baseItem="0" numFmtId="164"/>
  </dataFields>
  <formats count="1">
    <format dxfId="48">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1156C8-A531-4265-A894-2D8B9456D085}" name="PivotTable2" cacheId="2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F5" firstHeaderRow="1" firstDataRow="2" firstDataCol="1"/>
  <pivotFields count="11">
    <pivotField showAll="0"/>
    <pivotField axis="axisCol" showAll="0">
      <items count="6">
        <item x="1"/>
        <item x="0"/>
        <item x="3"/>
        <item x="2"/>
        <item m="1" x="4"/>
        <item t="default"/>
      </items>
    </pivotField>
    <pivotField showAll="0">
      <items count="7">
        <item x="0"/>
        <item x="2"/>
        <item x="1"/>
        <item x="3"/>
        <item x="4"/>
        <item x="5"/>
        <item t="default"/>
      </items>
    </pivotField>
    <pivotField showAll="0">
      <items count="6">
        <item x="3"/>
        <item x="0"/>
        <item x="1"/>
        <item x="2"/>
        <item m="1" x="4"/>
        <item t="default"/>
      </items>
    </pivotField>
    <pivotField showAll="0"/>
    <pivotField showAll="0"/>
    <pivotField dataField="1" showAll="0"/>
    <pivotField showAll="0"/>
    <pivotField showAll="0">
      <items count="5">
        <item x="1"/>
        <item x="0"/>
        <item x="2"/>
        <item m="1" x="3"/>
        <item t="default"/>
      </items>
    </pivotField>
    <pivotField showAll="0"/>
    <pivotField showAll="0"/>
  </pivotFields>
  <rowItems count="1">
    <i/>
  </rowItems>
  <colFields count="1">
    <field x="1"/>
  </colFields>
  <colItems count="5">
    <i>
      <x/>
    </i>
    <i>
      <x v="1"/>
    </i>
    <i>
      <x v="2"/>
    </i>
    <i>
      <x v="3"/>
    </i>
    <i t="grand">
      <x/>
    </i>
  </colItems>
  <dataFields count="1">
    <dataField name="Sum of Total Sales" fld="6" baseField="0" baseItem="0" numFmtId="164"/>
  </dataFields>
  <formats count="1">
    <format dxfId="4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A7C142-556A-4E2C-B33F-0B82CABEFCD6}" name="PivotTable8" cacheId="2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2:G8" firstHeaderRow="1" firstDataRow="2" firstDataCol="1"/>
  <pivotFields count="11">
    <pivotField showAll="0"/>
    <pivotField showAll="0">
      <items count="6">
        <item x="1"/>
        <item x="0"/>
        <item x="3"/>
        <item x="2"/>
        <item m="1" x="4"/>
        <item t="default"/>
      </items>
    </pivotField>
    <pivotField showAll="0">
      <items count="7">
        <item x="0"/>
        <item x="2"/>
        <item x="1"/>
        <item x="3"/>
        <item x="4"/>
        <item x="5"/>
        <item t="default"/>
      </items>
    </pivotField>
    <pivotField axis="axisRow" showAll="0">
      <items count="6">
        <item x="3"/>
        <item x="0"/>
        <item x="1"/>
        <item x="2"/>
        <item m="1" x="4"/>
        <item t="default"/>
      </items>
    </pivotField>
    <pivotField showAll="0"/>
    <pivotField showAll="0"/>
    <pivotField dataField="1" showAll="0"/>
    <pivotField showAll="0"/>
    <pivotField showAll="0">
      <items count="5">
        <item x="1"/>
        <item x="0"/>
        <item x="2"/>
        <item m="1" x="3"/>
        <item t="default"/>
      </items>
    </pivotField>
    <pivotField showAll="0"/>
    <pivotField axis="axisCol" showAll="0">
      <items count="7">
        <item x="4"/>
        <item x="1"/>
        <item x="2"/>
        <item x="3"/>
        <item x="0"/>
        <item h="1" m="1" x="5"/>
        <item t="default"/>
      </items>
    </pivotField>
  </pivotFields>
  <rowFields count="1">
    <field x="3"/>
  </rowFields>
  <rowItems count="5">
    <i>
      <x/>
    </i>
    <i>
      <x v="1"/>
    </i>
    <i>
      <x v="2"/>
    </i>
    <i>
      <x v="3"/>
    </i>
    <i t="grand">
      <x/>
    </i>
  </rowItems>
  <colFields count="1">
    <field x="10"/>
  </colFields>
  <colItems count="6">
    <i>
      <x/>
    </i>
    <i>
      <x v="1"/>
    </i>
    <i>
      <x v="2"/>
    </i>
    <i>
      <x v="3"/>
    </i>
    <i>
      <x v="4"/>
    </i>
    <i t="grand">
      <x/>
    </i>
  </colItems>
  <dataFields count="1">
    <dataField name="Total Sales " fld="6" baseField="0" baseItem="0" numFmtId="164"/>
  </dataFields>
  <formats count="10">
    <format dxfId="46">
      <pivotArea type="all" dataOnly="0" outline="0" fieldPosition="0"/>
    </format>
    <format dxfId="45">
      <pivotArea type="origin" dataOnly="0" labelOnly="1" outline="0" fieldPosition="0"/>
    </format>
    <format dxfId="44">
      <pivotArea field="3" type="button" dataOnly="0" labelOnly="1" outline="0" axis="axisRow" fieldPosition="0"/>
    </format>
    <format dxfId="43">
      <pivotArea type="topRight" dataOnly="0" labelOnly="1" outline="0" fieldPosition="0"/>
    </format>
    <format dxfId="42">
      <pivotArea field="10" type="button" dataOnly="0" labelOnly="1" outline="0" axis="axisCol" fieldPosition="0"/>
    </format>
    <format dxfId="41">
      <pivotArea dataOnly="0" labelOnly="1" fieldPosition="0">
        <references count="1">
          <reference field="10" count="0"/>
        </references>
      </pivotArea>
    </format>
    <format dxfId="40">
      <pivotArea dataOnly="0" labelOnly="1" grandRow="1" outline="0" fieldPosition="0"/>
    </format>
    <format dxfId="39">
      <pivotArea dataOnly="0" labelOnly="1" fieldPosition="0">
        <references count="1">
          <reference field="3" count="4">
            <x v="0"/>
            <x v="1"/>
            <x v="2"/>
            <x v="3"/>
          </reference>
        </references>
      </pivotArea>
    </format>
    <format dxfId="38">
      <pivotArea dataOnly="0" labelOnly="1" grandCol="1" outline="0" fieldPosition="0"/>
    </format>
    <format dxfId="37">
      <pivotArea outline="0" collapsedLevelsAreSubtotals="1" fieldPosition="0"/>
    </format>
  </formats>
  <chartFormats count="20">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3" format="8" series="1">
      <pivotArea type="data" outline="0" fieldPosition="0">
        <references count="2">
          <reference field="4294967294" count="1" selected="0">
            <x v="0"/>
          </reference>
          <reference field="3" count="1" selected="0">
            <x v="0"/>
          </reference>
        </references>
      </pivotArea>
    </chartFormat>
    <chartFormat chart="3" format="9" series="1">
      <pivotArea type="data" outline="0" fieldPosition="0">
        <references count="2">
          <reference field="4294967294" count="1" selected="0">
            <x v="0"/>
          </reference>
          <reference field="3" count="1" selected="0">
            <x v="1"/>
          </reference>
        </references>
      </pivotArea>
    </chartFormat>
    <chartFormat chart="3" format="10" series="1">
      <pivotArea type="data" outline="0" fieldPosition="0">
        <references count="2">
          <reference field="4294967294" count="1" selected="0">
            <x v="0"/>
          </reference>
          <reference field="3" count="1" selected="0">
            <x v="2"/>
          </reference>
        </references>
      </pivotArea>
    </chartFormat>
    <chartFormat chart="3" format="11" series="1">
      <pivotArea type="data" outline="0" fieldPosition="0">
        <references count="2">
          <reference field="4294967294" count="1" selected="0">
            <x v="0"/>
          </reference>
          <reference field="3" count="1" selected="0">
            <x v="3"/>
          </reference>
        </references>
      </pivotArea>
    </chartFormat>
    <chartFormat chart="3" format="12" series="1">
      <pivotArea type="data" outline="0" fieldPosition="0">
        <references count="2">
          <reference field="4294967294" count="1" selected="0">
            <x v="0"/>
          </reference>
          <reference field="10" count="1" selected="0">
            <x v="4"/>
          </reference>
        </references>
      </pivotArea>
    </chartFormat>
    <chartFormat chart="3" format="13" series="1">
      <pivotArea type="data" outline="0" fieldPosition="0">
        <references count="2">
          <reference field="4294967294" count="1" selected="0">
            <x v="0"/>
          </reference>
          <reference field="10" count="1" selected="0">
            <x v="0"/>
          </reference>
        </references>
      </pivotArea>
    </chartFormat>
    <chartFormat chart="3" format="14" series="1">
      <pivotArea type="data" outline="0" fieldPosition="0">
        <references count="2">
          <reference field="4294967294" count="1" selected="0">
            <x v="0"/>
          </reference>
          <reference field="10" count="1" selected="0">
            <x v="1"/>
          </reference>
        </references>
      </pivotArea>
    </chartFormat>
    <chartFormat chart="3" format="15" series="1">
      <pivotArea type="data" outline="0" fieldPosition="0">
        <references count="2">
          <reference field="4294967294" count="1" selected="0">
            <x v="0"/>
          </reference>
          <reference field="10" count="1" selected="0">
            <x v="2"/>
          </reference>
        </references>
      </pivotArea>
    </chartFormat>
    <chartFormat chart="3" format="16" series="1">
      <pivotArea type="data" outline="0" fieldPosition="0">
        <references count="2">
          <reference field="4294967294" count="1" selected="0">
            <x v="0"/>
          </reference>
          <reference field="10" count="1" selected="0">
            <x v="3"/>
          </reference>
        </references>
      </pivotArea>
    </chartFormat>
    <chartFormat chart="0" format="4" series="1">
      <pivotArea type="data" outline="0" fieldPosition="0">
        <references count="2">
          <reference field="4294967294" count="1" selected="0">
            <x v="0"/>
          </reference>
          <reference field="10" count="1" selected="0">
            <x v="4"/>
          </reference>
        </references>
      </pivotArea>
    </chartFormat>
    <chartFormat chart="0" format="5" series="1">
      <pivotArea type="data" outline="0" fieldPosition="0">
        <references count="2">
          <reference field="4294967294" count="1" selected="0">
            <x v="0"/>
          </reference>
          <reference field="10" count="1" selected="0">
            <x v="0"/>
          </reference>
        </references>
      </pivotArea>
    </chartFormat>
    <chartFormat chart="0" format="6" series="1">
      <pivotArea type="data" outline="0" fieldPosition="0">
        <references count="2">
          <reference field="4294967294" count="1" selected="0">
            <x v="0"/>
          </reference>
          <reference field="10" count="1" selected="0">
            <x v="1"/>
          </reference>
        </references>
      </pivotArea>
    </chartFormat>
    <chartFormat chart="0" format="7" series="1">
      <pivotArea type="data" outline="0" fieldPosition="0">
        <references count="2">
          <reference field="4294967294" count="1" selected="0">
            <x v="0"/>
          </reference>
          <reference field="10" count="1" selected="0">
            <x v="2"/>
          </reference>
        </references>
      </pivotArea>
    </chartFormat>
    <chartFormat chart="0" format="8" series="1">
      <pivotArea type="data" outline="0" fieldPosition="0">
        <references count="2">
          <reference field="4294967294" count="1" selected="0">
            <x v="0"/>
          </reference>
          <reference field="10" count="1" selected="0">
            <x v="3"/>
          </reference>
        </references>
      </pivotArea>
    </chartFormat>
    <chartFormat chart="3" format="17"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089750-C607-4038-9C1F-F0B31C0B8E52}" name="PivotTable2" cacheId="2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16:H19" firstHeaderRow="1" firstDataRow="1" firstDataCol="1" rowPageCount="1" colPageCount="1"/>
  <pivotFields count="11">
    <pivotField showAll="0"/>
    <pivotField showAll="0"/>
    <pivotField showAll="0"/>
    <pivotField axis="axisPage" showAll="0">
      <items count="6">
        <item x="3"/>
        <item x="0"/>
        <item x="1"/>
        <item x="2"/>
        <item m="1" x="4"/>
        <item t="default"/>
      </items>
    </pivotField>
    <pivotField showAll="0"/>
    <pivotField showAll="0"/>
    <pivotField dataField="1" showAll="0"/>
    <pivotField showAll="0"/>
    <pivotField showAll="0"/>
    <pivotField axis="axisRow" showAll="0">
      <items count="4">
        <item x="1"/>
        <item x="0"/>
        <item h="1" m="1" x="2"/>
        <item t="default"/>
      </items>
    </pivotField>
    <pivotField showAll="0"/>
  </pivotFields>
  <rowFields count="1">
    <field x="9"/>
  </rowFields>
  <rowItems count="3">
    <i>
      <x/>
    </i>
    <i>
      <x v="1"/>
    </i>
    <i t="grand">
      <x/>
    </i>
  </rowItems>
  <colItems count="1">
    <i/>
  </colItems>
  <pageFields count="1">
    <pageField fld="3" item="2" hier="-1"/>
  </pageFields>
  <dataFields count="1">
    <dataField name="Count of Total Sales"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BF21EF7-D552-4778-BC34-CCE2210AEE41}" name="PivotTable3" cacheId="2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16:E19" firstHeaderRow="1" firstDataRow="1" firstDataCol="1" rowPageCount="1" colPageCount="1"/>
  <pivotFields count="11">
    <pivotField showAll="0"/>
    <pivotField showAll="0"/>
    <pivotField showAll="0"/>
    <pivotField axis="axisPage" showAll="0">
      <items count="6">
        <item x="3"/>
        <item x="0"/>
        <item x="1"/>
        <item x="2"/>
        <item m="1" x="4"/>
        <item t="default"/>
      </items>
    </pivotField>
    <pivotField showAll="0"/>
    <pivotField showAll="0"/>
    <pivotField dataField="1" showAll="0"/>
    <pivotField showAll="0"/>
    <pivotField showAll="0"/>
    <pivotField axis="axisRow" showAll="0">
      <items count="4">
        <item x="1"/>
        <item x="0"/>
        <item m="1" x="2"/>
        <item t="default"/>
      </items>
    </pivotField>
    <pivotField showAll="0"/>
  </pivotFields>
  <rowFields count="1">
    <field x="9"/>
  </rowFields>
  <rowItems count="3">
    <i>
      <x/>
    </i>
    <i>
      <x v="1"/>
    </i>
    <i t="grand">
      <x/>
    </i>
  </rowItems>
  <colItems count="1">
    <i/>
  </colItems>
  <pageFields count="1">
    <pageField fld="3" item="1" hier="-1"/>
  </pageFields>
  <dataFields count="1">
    <dataField name="Count of Total Sales"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2473660-33B0-46E7-B435-C54549910EA0}" name="PivotTable4" cacheId="2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A16:B19" firstHeaderRow="1" firstDataRow="1" firstDataCol="1" rowPageCount="1" colPageCount="1"/>
  <pivotFields count="11">
    <pivotField showAll="0"/>
    <pivotField showAll="0">
      <items count="6">
        <item x="1"/>
        <item x="0"/>
        <item x="3"/>
        <item x="2"/>
        <item m="1" x="4"/>
        <item t="default"/>
      </items>
    </pivotField>
    <pivotField showAll="0">
      <items count="7">
        <item x="0"/>
        <item x="2"/>
        <item x="1"/>
        <item x="3"/>
        <item x="4"/>
        <item x="5"/>
        <item t="default"/>
      </items>
    </pivotField>
    <pivotField axis="axisPage" multipleItemSelectionAllowed="1" showAll="0">
      <items count="6">
        <item x="3"/>
        <item x="0"/>
        <item x="1"/>
        <item x="2"/>
        <item m="1" x="4"/>
        <item t="default"/>
      </items>
    </pivotField>
    <pivotField showAll="0"/>
    <pivotField showAll="0"/>
    <pivotField dataField="1" showAll="0"/>
    <pivotField showAll="0"/>
    <pivotField showAll="0">
      <items count="5">
        <item x="1"/>
        <item x="0"/>
        <item x="2"/>
        <item m="1" x="3"/>
        <item t="default"/>
      </items>
    </pivotField>
    <pivotField axis="axisRow" showAll="0" sortType="ascending">
      <items count="4">
        <item x="1"/>
        <item x="0"/>
        <item h="1" m="1" x="2"/>
        <item t="default"/>
      </items>
      <autoSortScope>
        <pivotArea dataOnly="0" outline="0" fieldPosition="0">
          <references count="1">
            <reference field="4294967294" count="1" selected="0">
              <x v="0"/>
            </reference>
          </references>
        </pivotArea>
      </autoSortScope>
    </pivotField>
    <pivotField showAll="0"/>
  </pivotFields>
  <rowFields count="1">
    <field x="9"/>
  </rowFields>
  <rowItems count="3">
    <i>
      <x v="1"/>
    </i>
    <i>
      <x/>
    </i>
    <i t="grand">
      <x/>
    </i>
  </rowItems>
  <colItems count="1">
    <i/>
  </colItems>
  <pageFields count="1">
    <pageField fld="3" hier="-1"/>
  </pageFields>
  <dataFields count="1">
    <dataField name="Count of Total Sales" fld="6" subtotal="count" baseField="0" baseItem="0"/>
  </dataFields>
  <chartFormats count="6">
    <chartFormat chart="1" format="0"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0"/>
          </reference>
        </references>
      </pivotArea>
    </chartFormat>
    <chartFormat chart="6" format="8">
      <pivotArea type="data" outline="0" fieldPosition="0">
        <references count="2">
          <reference field="4294967294" count="1" selected="0">
            <x v="0"/>
          </reference>
          <reference field="9" count="1" selected="0">
            <x v="0"/>
          </reference>
        </references>
      </pivotArea>
    </chartFormat>
    <chartFormat chart="6" format="9">
      <pivotArea type="data" outline="0" fieldPosition="0">
        <references count="2">
          <reference field="4294967294" count="1" selected="0">
            <x v="0"/>
          </reference>
          <reference field="9" count="1" selected="0">
            <x v="1"/>
          </reference>
        </references>
      </pivotArea>
    </chartFormat>
    <chartFormat chart="1" format="1">
      <pivotArea type="data" outline="0" fieldPosition="0">
        <references count="2">
          <reference field="4294967294" count="1" selected="0">
            <x v="0"/>
          </reference>
          <reference field="9" count="1" selected="0">
            <x v="1"/>
          </reference>
        </references>
      </pivotArea>
    </chartFormat>
    <chartFormat chart="1" format="2">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6AA7198-4AA1-459B-9F11-3374FE39539A}" name="PivotTable5" cacheId="2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J16:K19" firstHeaderRow="1" firstDataRow="1" firstDataCol="1" rowPageCount="1" colPageCount="1"/>
  <pivotFields count="11">
    <pivotField showAll="0"/>
    <pivotField showAll="0"/>
    <pivotField showAll="0"/>
    <pivotField axis="axisPage" showAll="0">
      <items count="6">
        <item x="3"/>
        <item x="0"/>
        <item x="1"/>
        <item x="2"/>
        <item m="1" x="4"/>
        <item t="default"/>
      </items>
    </pivotField>
    <pivotField showAll="0"/>
    <pivotField showAll="0"/>
    <pivotField dataField="1" showAll="0"/>
    <pivotField showAll="0"/>
    <pivotField showAll="0"/>
    <pivotField axis="axisRow" showAll="0">
      <items count="4">
        <item x="1"/>
        <item x="0"/>
        <item m="1" x="2"/>
        <item t="default"/>
      </items>
    </pivotField>
    <pivotField showAll="0"/>
  </pivotFields>
  <rowFields count="1">
    <field x="9"/>
  </rowFields>
  <rowItems count="3">
    <i>
      <x/>
    </i>
    <i>
      <x v="1"/>
    </i>
    <i t="grand">
      <x/>
    </i>
  </rowItems>
  <colItems count="1">
    <i/>
  </colItems>
  <pageFields count="1">
    <pageField fld="3" item="3" hier="-1"/>
  </pageFields>
  <dataFields count="1">
    <dataField name="Count of Total Sales"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5EF3F61-6BB4-4A85-AF77-A1A81ADF7C65}" name="PivotTable9" cacheId="2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2:B6" firstHeaderRow="1" firstDataRow="1" firstDataCol="1"/>
  <pivotFields count="11">
    <pivotField showAll="0"/>
    <pivotField showAll="0">
      <items count="6">
        <item x="1"/>
        <item x="0"/>
        <item x="3"/>
        <item x="2"/>
        <item m="1" x="4"/>
        <item t="default"/>
      </items>
    </pivotField>
    <pivotField showAll="0">
      <items count="7">
        <item x="0"/>
        <item x="2"/>
        <item x="1"/>
        <item x="3"/>
        <item x="4"/>
        <item x="5"/>
        <item t="default"/>
      </items>
    </pivotField>
    <pivotField showAll="0">
      <items count="6">
        <item x="3"/>
        <item x="0"/>
        <item x="1"/>
        <item x="2"/>
        <item m="1" x="4"/>
        <item t="default"/>
      </items>
    </pivotField>
    <pivotField showAll="0"/>
    <pivotField showAll="0"/>
    <pivotField dataField="1" showAll="0"/>
    <pivotField showAll="0"/>
    <pivotField axis="axisRow" showAll="0">
      <items count="5">
        <item x="1"/>
        <item x="0"/>
        <item x="2"/>
        <item m="1" x="3"/>
        <item t="default"/>
      </items>
    </pivotField>
    <pivotField showAll="0"/>
    <pivotField showAll="0"/>
  </pivotFields>
  <rowFields count="1">
    <field x="8"/>
  </rowFields>
  <rowItems count="4">
    <i>
      <x/>
    </i>
    <i>
      <x v="1"/>
    </i>
    <i>
      <x v="2"/>
    </i>
    <i t="grand">
      <x/>
    </i>
  </rowItems>
  <colItems count="1">
    <i/>
  </colItems>
  <dataFields count="1">
    <dataField name="Sum of Total Sales" fld="6" baseField="0" baseItem="0" numFmtId="164"/>
  </dataFields>
  <formats count="3">
    <format dxfId="36">
      <pivotArea dataOnly="0" labelOnly="1" fieldPosition="0">
        <references count="1">
          <reference field="8" count="0"/>
        </references>
      </pivotArea>
    </format>
    <format dxfId="35">
      <pivotArea dataOnly="0" labelOnly="1" grandRow="1" outline="0" fieldPosition="0"/>
    </format>
    <format dxfId="3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9BF3C6F-06CD-4106-8DB5-01FABCD3B631}" name="PivotTable11" cacheId="2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Name">
  <location ref="A4:B92" firstHeaderRow="1" firstDataRow="1" firstDataCol="1"/>
  <pivotFields count="11">
    <pivotField axis="axisRow" showAll="0" sortType="descending">
      <items count="90">
        <item x="8"/>
        <item x="64"/>
        <item x="52"/>
        <item x="16"/>
        <item x="18"/>
        <item x="12"/>
        <item x="83"/>
        <item x="32"/>
        <item x="69"/>
        <item x="71"/>
        <item x="63"/>
        <item x="61"/>
        <item x="77"/>
        <item x="0"/>
        <item x="23"/>
        <item x="4"/>
        <item x="10"/>
        <item x="76"/>
        <item x="38"/>
        <item x="3"/>
        <item x="57"/>
        <item x="46"/>
        <item x="42"/>
        <item x="29"/>
        <item x="53"/>
        <item x="37"/>
        <item x="19"/>
        <item x="40"/>
        <item x="48"/>
        <item x="11"/>
        <item x="39"/>
        <item x="78"/>
        <item x="27"/>
        <item x="7"/>
        <item x="74"/>
        <item x="70"/>
        <item x="24"/>
        <item x="80"/>
        <item x="35"/>
        <item x="54"/>
        <item x="59"/>
        <item x="33"/>
        <item x="43"/>
        <item x="41"/>
        <item x="45"/>
        <item x="20"/>
        <item x="75"/>
        <item x="28"/>
        <item x="82"/>
        <item x="5"/>
        <item x="44"/>
        <item x="1"/>
        <item x="9"/>
        <item x="25"/>
        <item x="79"/>
        <item x="86"/>
        <item x="34"/>
        <item x="21"/>
        <item x="31"/>
        <item x="62"/>
        <item x="50"/>
        <item x="36"/>
        <item x="15"/>
        <item x="66"/>
        <item x="84"/>
        <item x="56"/>
        <item x="14"/>
        <item x="85"/>
        <item x="65"/>
        <item x="2"/>
        <item x="73"/>
        <item x="6"/>
        <item x="60"/>
        <item x="67"/>
        <item x="13"/>
        <item x="26"/>
        <item x="22"/>
        <item x="55"/>
        <item x="58"/>
        <item x="49"/>
        <item x="30"/>
        <item x="47"/>
        <item x="81"/>
        <item x="51"/>
        <item x="72"/>
        <item x="68"/>
        <item x="17"/>
        <item h="1" m="1" x="87"/>
        <item h="1" m="1" x="88"/>
        <item t="default"/>
      </items>
      <autoSortScope>
        <pivotArea dataOnly="0" outline="0" fieldPosition="0">
          <references count="1">
            <reference field="4294967294" count="1" selected="0">
              <x v="0"/>
            </reference>
          </references>
        </pivotArea>
      </autoSortScope>
    </pivotField>
    <pivotField showAll="0">
      <items count="6">
        <item x="1"/>
        <item x="0"/>
        <item x="3"/>
        <item x="2"/>
        <item m="1" x="4"/>
        <item t="default"/>
      </items>
    </pivotField>
    <pivotField showAll="0">
      <items count="7">
        <item x="0"/>
        <item x="2"/>
        <item x="1"/>
        <item x="3"/>
        <item x="4"/>
        <item x="5"/>
        <item t="default"/>
      </items>
    </pivotField>
    <pivotField showAll="0">
      <items count="6">
        <item x="3"/>
        <item x="0"/>
        <item x="1"/>
        <item x="2"/>
        <item m="1" x="4"/>
        <item t="default"/>
      </items>
    </pivotField>
    <pivotField showAll="0"/>
    <pivotField showAll="0"/>
    <pivotField dataField="1" showAll="0"/>
    <pivotField showAll="0"/>
    <pivotField showAll="0">
      <items count="5">
        <item x="1"/>
        <item x="0"/>
        <item x="2"/>
        <item m="1" x="3"/>
        <item t="default"/>
      </items>
    </pivotField>
    <pivotField showAll="0"/>
    <pivotField showAll="0"/>
  </pivotFields>
  <rowFields count="1">
    <field x="0"/>
  </rowFields>
  <rowItems count="88">
    <i>
      <x v="71"/>
    </i>
    <i>
      <x v="51"/>
    </i>
    <i>
      <x v="81"/>
    </i>
    <i>
      <x v="42"/>
    </i>
    <i>
      <x/>
    </i>
    <i>
      <x v="24"/>
    </i>
    <i>
      <x v="80"/>
    </i>
    <i>
      <x v="50"/>
    </i>
    <i>
      <x v="4"/>
    </i>
    <i>
      <x v="17"/>
    </i>
    <i>
      <x v="29"/>
    </i>
    <i>
      <x v="30"/>
    </i>
    <i>
      <x v="2"/>
    </i>
    <i>
      <x v="44"/>
    </i>
    <i>
      <x v="79"/>
    </i>
    <i>
      <x v="57"/>
    </i>
    <i>
      <x v="26"/>
    </i>
    <i>
      <x v="37"/>
    </i>
    <i>
      <x v="61"/>
    </i>
    <i>
      <x v="60"/>
    </i>
    <i>
      <x v="28"/>
    </i>
    <i>
      <x v="65"/>
    </i>
    <i>
      <x v="43"/>
    </i>
    <i>
      <x v="77"/>
    </i>
    <i>
      <x v="9"/>
    </i>
    <i>
      <x v="76"/>
    </i>
    <i>
      <x v="8"/>
    </i>
    <i>
      <x v="14"/>
    </i>
    <i>
      <x v="83"/>
    </i>
    <i>
      <x v="21"/>
    </i>
    <i>
      <x v="23"/>
    </i>
    <i>
      <x v="56"/>
    </i>
    <i>
      <x v="48"/>
    </i>
    <i>
      <x v="31"/>
    </i>
    <i>
      <x v="39"/>
    </i>
    <i>
      <x v="69"/>
    </i>
    <i>
      <x v="36"/>
    </i>
    <i>
      <x v="11"/>
    </i>
    <i>
      <x v="19"/>
    </i>
    <i>
      <x v="64"/>
    </i>
    <i>
      <x v="70"/>
    </i>
    <i>
      <x v="13"/>
    </i>
    <i>
      <x v="73"/>
    </i>
    <i>
      <x v="25"/>
    </i>
    <i>
      <x v="22"/>
    </i>
    <i>
      <x v="7"/>
    </i>
    <i>
      <x v="34"/>
    </i>
    <i>
      <x v="62"/>
    </i>
    <i>
      <x v="6"/>
    </i>
    <i>
      <x v="27"/>
    </i>
    <i>
      <x v="78"/>
    </i>
    <i>
      <x v="52"/>
    </i>
    <i>
      <x v="75"/>
    </i>
    <i>
      <x v="66"/>
    </i>
    <i>
      <x v="3"/>
    </i>
    <i>
      <x v="35"/>
    </i>
    <i>
      <x v="45"/>
    </i>
    <i>
      <x v="47"/>
    </i>
    <i>
      <x v="33"/>
    </i>
    <i>
      <x v="41"/>
    </i>
    <i>
      <x v="5"/>
    </i>
    <i>
      <x v="59"/>
    </i>
    <i>
      <x v="12"/>
    </i>
    <i>
      <x v="53"/>
    </i>
    <i>
      <x v="86"/>
    </i>
    <i>
      <x v="68"/>
    </i>
    <i>
      <x v="63"/>
    </i>
    <i>
      <x v="40"/>
    </i>
    <i>
      <x v="55"/>
    </i>
    <i>
      <x v="74"/>
    </i>
    <i>
      <x v="58"/>
    </i>
    <i>
      <x v="1"/>
    </i>
    <i>
      <x v="82"/>
    </i>
    <i>
      <x v="46"/>
    </i>
    <i>
      <x v="38"/>
    </i>
    <i>
      <x v="49"/>
    </i>
    <i>
      <x v="18"/>
    </i>
    <i>
      <x v="15"/>
    </i>
    <i>
      <x v="10"/>
    </i>
    <i>
      <x v="85"/>
    </i>
    <i>
      <x v="20"/>
    </i>
    <i>
      <x v="32"/>
    </i>
    <i>
      <x v="67"/>
    </i>
    <i>
      <x v="16"/>
    </i>
    <i>
      <x v="72"/>
    </i>
    <i>
      <x v="84"/>
    </i>
    <i>
      <x v="54"/>
    </i>
    <i t="grand">
      <x/>
    </i>
  </rowItems>
  <colItems count="1">
    <i/>
  </colItems>
  <dataFields count="1">
    <dataField name="Sum of Total Sales" fld="6" baseField="0" baseItem="0"/>
  </dataFields>
  <formats count="1">
    <format dxfId="33">
      <pivotArea collapsedLevelsAreSubtotals="1" fieldPosition="0">
        <references count="1">
          <reference field="0" count="87">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AACA9493-929E-4DF3-A681-D865AE43EB69}" sourceName="Area">
  <pivotTables>
    <pivotTable tabId="7" name="PivotTable8"/>
    <pivotTable tabId="8" name="PivotTable9"/>
    <pivotTable tabId="6" name="PivotTable4"/>
    <pivotTable tabId="9" name="PivotTable11"/>
    <pivotTable tabId="5" name="PivotTable2"/>
    <pivotTable tabId="4" name="PivotTable1"/>
  </pivotTables>
  <data>
    <tabular pivotCacheId="97179719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5494243-C137-403F-8015-76098089D281}" sourceName="Year">
  <pivotTables>
    <pivotTable tabId="7" name="PivotTable8"/>
    <pivotTable tabId="8" name="PivotTable9"/>
    <pivotTable tabId="6" name="PivotTable4"/>
    <pivotTable tabId="9" name="PivotTable11"/>
    <pivotTable tabId="5" name="PivotTable2"/>
    <pivotTable tabId="4" name="PivotTable1"/>
  </pivotTables>
  <data>
    <tabular pivotCacheId="971797193">
      <items count="6">
        <i x="0" s="1"/>
        <i x="2" s="1"/>
        <i x="1" s="1"/>
        <i x="3" s="1"/>
        <i x="4"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88FBAD48-8086-4328-ABD3-E528C60E5361}" sourceName="Product">
  <pivotTables>
    <pivotTable tabId="7" name="PivotTable8"/>
    <pivotTable tabId="8" name="PivotTable9"/>
    <pivotTable tabId="6" name="PivotTable4"/>
    <pivotTable tabId="9" name="PivotTable11"/>
    <pivotTable tabId="5" name="PivotTable2"/>
    <pivotTable tabId="4" name="PivotTable1"/>
  </pivotTables>
  <data>
    <tabular pivotCacheId="971797193">
      <items count="5">
        <i x="3" s="1"/>
        <i x="0" s="1"/>
        <i x="1" s="1"/>
        <i x="2" s="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B8AC39A2-3D86-4A67-A3BC-B92F38590B31}" sourceName="Sales Channel">
  <pivotTables>
    <pivotTable tabId="7" name="PivotTable8"/>
    <pivotTable tabId="8" name="PivotTable9"/>
    <pivotTable tabId="6" name="PivotTable4"/>
    <pivotTable tabId="9" name="PivotTable11"/>
    <pivotTable tabId="5" name="PivotTable2"/>
    <pivotTable tabId="4" name="PivotTable1"/>
  </pivotTables>
  <data>
    <tabular pivotCacheId="971797193">
      <items count="4">
        <i x="1" s="1"/>
        <i x="0" s="1"/>
        <i x="2" s="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 xr10:uid="{610F2186-C007-484A-9FBB-189019EE10FE}" cache="Slicer_Area" caption="Area" columnCount="2" style="DashboardSlicer" rowHeight="274320"/>
  <slicer name="Year" xr10:uid="{A7508842-8F42-41EA-9916-BF52F71E28F1}" cache="Slicer_Year" caption="Year" columnCount="3" style="DashboardSlicer" rowHeight="274320"/>
  <slicer name="Product" xr10:uid="{83B95991-A699-4D54-8BB5-9C22679224C1}" cache="Slicer_Product" caption="Product" columnCount="2" style="DashboardSlicer" rowHeight="274320"/>
  <slicer name="Sales Channel" xr10:uid="{54DFC343-D929-4894-AB31-1EC591D37BB6}" cache="Slicer_Sales_Channel" caption="Sales Channel" columnCount="2" style="DashboardSlicer"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054639-26E9-4455-8577-A4A3CD84F02F}" name="Table1" displayName="Table1" ref="A1:K124" totalsRowShown="0" headerRowDxfId="32">
  <autoFilter ref="A1:K124" xr:uid="{3D054639-26E9-4455-8577-A4A3CD84F02F}"/>
  <tableColumns count="11">
    <tableColumn id="1" xr3:uid="{30A15B7C-37AE-4863-94A4-2D6CB3B79464}" name="FirstName"/>
    <tableColumn id="2" xr3:uid="{606AAB18-2F7E-4902-B681-C14C74E62165}" name="Area"/>
    <tableColumn id="3" xr3:uid="{A2A3494E-252B-4E25-944F-C853B6F44A3D}" name="Year"/>
    <tableColumn id="4" xr3:uid="{282D7F89-BD0B-45F3-BCBB-85663B5299ED}" name="Product"/>
    <tableColumn id="5" xr3:uid="{5BDEA92E-4EB8-4C8B-89BF-1C412D937BEC}" name="Price"/>
    <tableColumn id="6" xr3:uid="{826908AE-88CD-41B7-AC4F-46059A28920F}" name="Amount"/>
    <tableColumn id="7" xr3:uid="{BBE42318-2912-4D3E-8DF1-588A764E9DBA}" name="Total Sales"/>
    <tableColumn id="8" xr3:uid="{C474A545-779B-4BC6-95B4-3E4DDC993FC4}" name="Month"/>
    <tableColumn id="9" xr3:uid="{F88CE160-3A23-4207-8152-415AC7EDD30F}" name="Sales Channel"/>
    <tableColumn id="10" xr3:uid="{4E43E884-3B83-47D7-ADBA-D85EB393AD1A}" name="Faulty"/>
    <tableColumn id="11" xr3:uid="{1BFA556C-86A4-4AD1-9B83-8A5A4147176B}" name="Rating"/>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image" Target="../media/image1.jpeg"/><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openxmlformats.org/officeDocument/2006/relationships/drawing" Target="../drawings/drawing6.xml"/><Relationship Id="rId4"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1931-F60F-4937-83D5-31FD41BBE83F}">
  <sheetPr codeName="Sheet1">
    <tabColor theme="5" tint="0.39997558519241921"/>
  </sheetPr>
  <dimension ref="A1"/>
  <sheetViews>
    <sheetView showGridLines="0" topLeftCell="A2" zoomScaleNormal="100" workbookViewId="0">
      <selection activeCell="S10" sqref="S10"/>
    </sheetView>
  </sheetViews>
  <sheetFormatPr defaultRowHeight="14.4" x14ac:dyDescent="0.3"/>
  <sheetData/>
  <pageMargins left="0.7" right="0.7" top="0.75" bottom="0.75" header="0.3" footer="0.3"/>
  <drawing r:id="rId1"/>
  <pictur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4FD84-3A58-4C49-8AC2-3D871934A879}">
  <sheetPr codeName="Sheet9">
    <tabColor theme="5" tint="0.39997558519241921"/>
  </sheetPr>
  <dimension ref="A1:K124"/>
  <sheetViews>
    <sheetView topLeftCell="A104" zoomScale="70" zoomScaleNormal="70" workbookViewId="0">
      <selection activeCell="A125" sqref="A125"/>
    </sheetView>
  </sheetViews>
  <sheetFormatPr defaultRowHeight="14.4" x14ac:dyDescent="0.3"/>
  <cols>
    <col min="1" max="1" width="13.5546875" bestFit="1" customWidth="1"/>
    <col min="2" max="2" width="10" bestFit="1" customWidth="1"/>
    <col min="3" max="3" width="8.33203125" bestFit="1" customWidth="1"/>
    <col min="4" max="4" width="11.6640625" bestFit="1" customWidth="1"/>
    <col min="5" max="5" width="8.6640625" bestFit="1" customWidth="1"/>
    <col min="6" max="6" width="11.88671875" bestFit="1" customWidth="1"/>
    <col min="7" max="7" width="14.21875" bestFit="1" customWidth="1"/>
    <col min="8" max="8" width="10.77734375" bestFit="1" customWidth="1"/>
    <col min="9" max="9" width="17.109375" bestFit="1" customWidth="1"/>
    <col min="10" max="10" width="10" bestFit="1" customWidth="1"/>
    <col min="11" max="11" width="10.21875" bestFit="1" customWidth="1"/>
  </cols>
  <sheetData>
    <row r="1" spans="1:11" ht="15.6" x14ac:dyDescent="0.3">
      <c r="A1" s="1" t="s">
        <v>0</v>
      </c>
      <c r="B1" s="1" t="s">
        <v>1</v>
      </c>
      <c r="C1" s="1" t="s">
        <v>2</v>
      </c>
      <c r="D1" s="1" t="s">
        <v>3</v>
      </c>
      <c r="E1" s="1" t="s">
        <v>4</v>
      </c>
      <c r="F1" s="1" t="s">
        <v>5</v>
      </c>
      <c r="G1" s="1" t="s">
        <v>6</v>
      </c>
      <c r="H1" s="1" t="s">
        <v>7</v>
      </c>
      <c r="I1" s="1" t="s">
        <v>8</v>
      </c>
      <c r="J1" s="1" t="s">
        <v>9</v>
      </c>
      <c r="K1" s="1" t="s">
        <v>10</v>
      </c>
    </row>
    <row r="2" spans="1:11" x14ac:dyDescent="0.3">
      <c r="A2" t="s">
        <v>11</v>
      </c>
      <c r="B2" t="s">
        <v>12</v>
      </c>
      <c r="C2">
        <v>2015</v>
      </c>
      <c r="D2" t="s">
        <v>13</v>
      </c>
      <c r="E2">
        <v>650</v>
      </c>
      <c r="F2">
        <v>3</v>
      </c>
      <c r="G2">
        <v>1950</v>
      </c>
      <c r="H2" t="s">
        <v>14</v>
      </c>
      <c r="I2" t="s">
        <v>15</v>
      </c>
      <c r="J2" t="s">
        <v>16</v>
      </c>
      <c r="K2" t="s">
        <v>17</v>
      </c>
    </row>
    <row r="3" spans="1:11" x14ac:dyDescent="0.3">
      <c r="A3" t="s">
        <v>18</v>
      </c>
      <c r="B3" t="s">
        <v>12</v>
      </c>
      <c r="C3">
        <v>2015</v>
      </c>
      <c r="D3" t="s">
        <v>13</v>
      </c>
      <c r="E3">
        <v>650</v>
      </c>
      <c r="F3">
        <v>3</v>
      </c>
      <c r="G3">
        <v>1950</v>
      </c>
      <c r="H3" t="s">
        <v>14</v>
      </c>
      <c r="I3" t="s">
        <v>15</v>
      </c>
      <c r="J3" t="s">
        <v>19</v>
      </c>
      <c r="K3" t="s">
        <v>20</v>
      </c>
    </row>
    <row r="4" spans="1:11" x14ac:dyDescent="0.3">
      <c r="A4" t="s">
        <v>21</v>
      </c>
      <c r="B4" t="s">
        <v>12</v>
      </c>
      <c r="C4">
        <v>2015</v>
      </c>
      <c r="D4" t="s">
        <v>13</v>
      </c>
      <c r="E4">
        <v>650</v>
      </c>
      <c r="F4">
        <v>4</v>
      </c>
      <c r="G4">
        <v>2600</v>
      </c>
      <c r="H4" t="s">
        <v>14</v>
      </c>
      <c r="I4" t="s">
        <v>22</v>
      </c>
      <c r="J4" t="s">
        <v>19</v>
      </c>
      <c r="K4" t="s">
        <v>17</v>
      </c>
    </row>
    <row r="5" spans="1:11" x14ac:dyDescent="0.3">
      <c r="A5" t="s">
        <v>23</v>
      </c>
      <c r="B5" t="s">
        <v>12</v>
      </c>
      <c r="C5">
        <v>2015</v>
      </c>
      <c r="D5" t="s">
        <v>13</v>
      </c>
      <c r="E5">
        <v>650</v>
      </c>
      <c r="F5">
        <v>4</v>
      </c>
      <c r="G5">
        <v>2600</v>
      </c>
      <c r="H5" t="s">
        <v>24</v>
      </c>
      <c r="I5" t="s">
        <v>25</v>
      </c>
      <c r="J5" t="s">
        <v>19</v>
      </c>
      <c r="K5" t="s">
        <v>26</v>
      </c>
    </row>
    <row r="6" spans="1:11" x14ac:dyDescent="0.3">
      <c r="A6" t="s">
        <v>27</v>
      </c>
      <c r="B6" t="s">
        <v>12</v>
      </c>
      <c r="C6">
        <v>2015</v>
      </c>
      <c r="D6" t="s">
        <v>28</v>
      </c>
      <c r="E6">
        <v>300</v>
      </c>
      <c r="F6">
        <v>3</v>
      </c>
      <c r="G6">
        <v>900</v>
      </c>
      <c r="H6" t="s">
        <v>24</v>
      </c>
      <c r="I6" t="s">
        <v>22</v>
      </c>
      <c r="J6" t="s">
        <v>16</v>
      </c>
      <c r="K6" t="s">
        <v>20</v>
      </c>
    </row>
    <row r="7" spans="1:11" x14ac:dyDescent="0.3">
      <c r="A7" t="s">
        <v>29</v>
      </c>
      <c r="B7" t="s">
        <v>30</v>
      </c>
      <c r="C7">
        <v>2015</v>
      </c>
      <c r="D7" t="s">
        <v>28</v>
      </c>
      <c r="E7">
        <v>300</v>
      </c>
      <c r="F7">
        <v>3</v>
      </c>
      <c r="G7">
        <v>900</v>
      </c>
      <c r="H7" t="s">
        <v>24</v>
      </c>
      <c r="I7" t="s">
        <v>15</v>
      </c>
      <c r="J7" t="s">
        <v>16</v>
      </c>
      <c r="K7" t="s">
        <v>31</v>
      </c>
    </row>
    <row r="8" spans="1:11" x14ac:dyDescent="0.3">
      <c r="A8" t="s">
        <v>32</v>
      </c>
      <c r="B8" t="s">
        <v>30</v>
      </c>
      <c r="C8">
        <v>2015</v>
      </c>
      <c r="D8" t="s">
        <v>33</v>
      </c>
      <c r="E8">
        <v>150</v>
      </c>
      <c r="F8">
        <v>7</v>
      </c>
      <c r="G8">
        <v>1050</v>
      </c>
      <c r="H8" t="s">
        <v>34</v>
      </c>
      <c r="I8" t="s">
        <v>15</v>
      </c>
      <c r="J8" t="s">
        <v>19</v>
      </c>
      <c r="K8" t="s">
        <v>31</v>
      </c>
    </row>
    <row r="9" spans="1:11" x14ac:dyDescent="0.3">
      <c r="A9" t="s">
        <v>35</v>
      </c>
      <c r="B9" t="s">
        <v>30</v>
      </c>
      <c r="C9">
        <v>2015</v>
      </c>
      <c r="D9" t="s">
        <v>15</v>
      </c>
      <c r="E9">
        <v>425</v>
      </c>
      <c r="F9">
        <v>4</v>
      </c>
      <c r="G9">
        <v>1700</v>
      </c>
      <c r="H9" t="s">
        <v>34</v>
      </c>
      <c r="I9" t="s">
        <v>22</v>
      </c>
      <c r="J9" t="s">
        <v>19</v>
      </c>
      <c r="K9" t="s">
        <v>31</v>
      </c>
    </row>
    <row r="10" spans="1:11" x14ac:dyDescent="0.3">
      <c r="A10" t="s">
        <v>36</v>
      </c>
      <c r="B10" t="s">
        <v>30</v>
      </c>
      <c r="C10">
        <v>2015</v>
      </c>
      <c r="D10" t="s">
        <v>15</v>
      </c>
      <c r="E10">
        <v>425</v>
      </c>
      <c r="F10">
        <v>7</v>
      </c>
      <c r="G10">
        <v>2975</v>
      </c>
      <c r="H10" t="s">
        <v>37</v>
      </c>
      <c r="I10" t="s">
        <v>25</v>
      </c>
      <c r="J10" t="s">
        <v>19</v>
      </c>
      <c r="K10" t="s">
        <v>17</v>
      </c>
    </row>
    <row r="11" spans="1:11" x14ac:dyDescent="0.3">
      <c r="A11" t="s">
        <v>38</v>
      </c>
      <c r="B11" t="s">
        <v>30</v>
      </c>
      <c r="C11">
        <v>2015</v>
      </c>
      <c r="D11" t="s">
        <v>15</v>
      </c>
      <c r="E11">
        <v>425</v>
      </c>
      <c r="F11">
        <v>5</v>
      </c>
      <c r="G11">
        <v>2125</v>
      </c>
      <c r="H11" t="s">
        <v>39</v>
      </c>
      <c r="I11" t="s">
        <v>22</v>
      </c>
      <c r="J11" t="s">
        <v>16</v>
      </c>
      <c r="K11" t="s">
        <v>17</v>
      </c>
    </row>
    <row r="12" spans="1:11" x14ac:dyDescent="0.3">
      <c r="A12" t="s">
        <v>40</v>
      </c>
      <c r="B12" t="s">
        <v>30</v>
      </c>
      <c r="C12">
        <v>2015</v>
      </c>
      <c r="D12" t="s">
        <v>33</v>
      </c>
      <c r="E12">
        <v>150</v>
      </c>
      <c r="F12">
        <v>4</v>
      </c>
      <c r="G12">
        <v>600</v>
      </c>
      <c r="H12" t="s">
        <v>41</v>
      </c>
      <c r="I12" t="s">
        <v>25</v>
      </c>
      <c r="J12" t="s">
        <v>16</v>
      </c>
      <c r="K12" t="s">
        <v>17</v>
      </c>
    </row>
    <row r="13" spans="1:11" x14ac:dyDescent="0.3">
      <c r="A13" t="s">
        <v>42</v>
      </c>
      <c r="B13" t="s">
        <v>30</v>
      </c>
      <c r="C13">
        <v>2015</v>
      </c>
      <c r="D13" t="s">
        <v>13</v>
      </c>
      <c r="E13">
        <v>650</v>
      </c>
      <c r="F13">
        <v>7</v>
      </c>
      <c r="G13">
        <v>4550</v>
      </c>
      <c r="H13" t="s">
        <v>43</v>
      </c>
      <c r="I13" t="s">
        <v>22</v>
      </c>
      <c r="J13" t="s">
        <v>19</v>
      </c>
      <c r="K13" t="s">
        <v>26</v>
      </c>
    </row>
    <row r="14" spans="1:11" x14ac:dyDescent="0.3">
      <c r="A14" t="s">
        <v>44</v>
      </c>
      <c r="B14" t="s">
        <v>30</v>
      </c>
      <c r="C14">
        <v>2015</v>
      </c>
      <c r="D14" t="s">
        <v>15</v>
      </c>
      <c r="E14">
        <v>425</v>
      </c>
      <c r="F14">
        <v>4</v>
      </c>
      <c r="G14">
        <v>1700</v>
      </c>
      <c r="H14" t="s">
        <v>45</v>
      </c>
      <c r="I14" t="s">
        <v>15</v>
      </c>
      <c r="J14" t="s">
        <v>19</v>
      </c>
      <c r="K14" t="s">
        <v>17</v>
      </c>
    </row>
    <row r="15" spans="1:11" x14ac:dyDescent="0.3">
      <c r="A15" t="s">
        <v>46</v>
      </c>
      <c r="B15" t="s">
        <v>30</v>
      </c>
      <c r="C15">
        <v>2015</v>
      </c>
      <c r="D15" t="s">
        <v>28</v>
      </c>
      <c r="E15">
        <v>300</v>
      </c>
      <c r="F15">
        <v>4</v>
      </c>
      <c r="G15">
        <v>1200</v>
      </c>
      <c r="H15" t="s">
        <v>45</v>
      </c>
      <c r="I15" t="s">
        <v>15</v>
      </c>
      <c r="J15" t="s">
        <v>19</v>
      </c>
      <c r="K15" t="s">
        <v>31</v>
      </c>
    </row>
    <row r="16" spans="1:11" x14ac:dyDescent="0.3">
      <c r="A16" t="s">
        <v>47</v>
      </c>
      <c r="B16" t="s">
        <v>30</v>
      </c>
      <c r="C16">
        <v>2015</v>
      </c>
      <c r="D16" t="s">
        <v>13</v>
      </c>
      <c r="E16">
        <v>650</v>
      </c>
      <c r="F16">
        <v>3</v>
      </c>
      <c r="G16">
        <v>1950</v>
      </c>
      <c r="H16" t="s">
        <v>45</v>
      </c>
      <c r="I16" t="s">
        <v>22</v>
      </c>
      <c r="J16" t="s">
        <v>16</v>
      </c>
      <c r="K16" t="s">
        <v>31</v>
      </c>
    </row>
    <row r="17" spans="1:11" x14ac:dyDescent="0.3">
      <c r="A17" t="s">
        <v>48</v>
      </c>
      <c r="B17" t="s">
        <v>49</v>
      </c>
      <c r="C17">
        <v>2015</v>
      </c>
      <c r="D17" t="s">
        <v>15</v>
      </c>
      <c r="E17">
        <v>425</v>
      </c>
      <c r="F17">
        <v>5</v>
      </c>
      <c r="G17">
        <v>2125</v>
      </c>
      <c r="H17" t="s">
        <v>50</v>
      </c>
      <c r="I17" t="s">
        <v>25</v>
      </c>
      <c r="J17" t="s">
        <v>16</v>
      </c>
      <c r="K17" t="s">
        <v>31</v>
      </c>
    </row>
    <row r="18" spans="1:11" x14ac:dyDescent="0.3">
      <c r="A18" t="s">
        <v>51</v>
      </c>
      <c r="B18" t="s">
        <v>49</v>
      </c>
      <c r="C18">
        <v>2015</v>
      </c>
      <c r="D18" t="s">
        <v>28</v>
      </c>
      <c r="E18">
        <v>300</v>
      </c>
      <c r="F18">
        <v>6</v>
      </c>
      <c r="G18">
        <v>1800</v>
      </c>
      <c r="H18" t="s">
        <v>50</v>
      </c>
      <c r="I18" t="s">
        <v>22</v>
      </c>
      <c r="J18" t="s">
        <v>19</v>
      </c>
      <c r="K18" t="s">
        <v>20</v>
      </c>
    </row>
    <row r="19" spans="1:11" x14ac:dyDescent="0.3">
      <c r="A19" t="s">
        <v>52</v>
      </c>
      <c r="B19" t="s">
        <v>49</v>
      </c>
      <c r="C19">
        <v>2015</v>
      </c>
      <c r="D19" t="s">
        <v>33</v>
      </c>
      <c r="E19">
        <v>150</v>
      </c>
      <c r="F19">
        <v>4</v>
      </c>
      <c r="G19">
        <v>600</v>
      </c>
      <c r="H19" t="s">
        <v>50</v>
      </c>
      <c r="I19" t="s">
        <v>15</v>
      </c>
      <c r="J19" t="s">
        <v>19</v>
      </c>
      <c r="K19" t="s">
        <v>53</v>
      </c>
    </row>
    <row r="20" spans="1:11" x14ac:dyDescent="0.3">
      <c r="A20" t="s">
        <v>54</v>
      </c>
      <c r="B20" t="s">
        <v>49</v>
      </c>
      <c r="C20">
        <v>2015</v>
      </c>
      <c r="D20" t="s">
        <v>28</v>
      </c>
      <c r="E20">
        <v>300</v>
      </c>
      <c r="F20">
        <v>5</v>
      </c>
      <c r="G20">
        <v>1500</v>
      </c>
      <c r="H20" t="s">
        <v>50</v>
      </c>
      <c r="I20" t="s">
        <v>15</v>
      </c>
      <c r="J20" t="s">
        <v>19</v>
      </c>
      <c r="K20" t="s">
        <v>26</v>
      </c>
    </row>
    <row r="21" spans="1:11" x14ac:dyDescent="0.3">
      <c r="A21" t="s">
        <v>55</v>
      </c>
      <c r="B21" t="s">
        <v>49</v>
      </c>
      <c r="C21">
        <v>2015</v>
      </c>
      <c r="D21" t="s">
        <v>13</v>
      </c>
      <c r="E21">
        <v>650</v>
      </c>
      <c r="F21">
        <v>6</v>
      </c>
      <c r="G21">
        <v>3900</v>
      </c>
      <c r="H21" t="s">
        <v>56</v>
      </c>
      <c r="I21" t="s">
        <v>22</v>
      </c>
      <c r="J21" t="s">
        <v>19</v>
      </c>
      <c r="K21" t="s">
        <v>26</v>
      </c>
    </row>
    <row r="22" spans="1:11" x14ac:dyDescent="0.3">
      <c r="A22" t="s">
        <v>57</v>
      </c>
      <c r="B22" t="s">
        <v>49</v>
      </c>
      <c r="C22">
        <v>2015</v>
      </c>
      <c r="D22" t="s">
        <v>15</v>
      </c>
      <c r="E22">
        <v>425</v>
      </c>
      <c r="F22">
        <v>4</v>
      </c>
      <c r="G22">
        <v>1700</v>
      </c>
      <c r="H22" t="s">
        <v>56</v>
      </c>
      <c r="I22" t="s">
        <v>25</v>
      </c>
      <c r="J22" t="s">
        <v>16</v>
      </c>
      <c r="K22" t="s">
        <v>17</v>
      </c>
    </row>
    <row r="23" spans="1:11" x14ac:dyDescent="0.3">
      <c r="A23" t="s">
        <v>58</v>
      </c>
      <c r="B23" t="s">
        <v>49</v>
      </c>
      <c r="C23">
        <v>2015</v>
      </c>
      <c r="D23" t="s">
        <v>28</v>
      </c>
      <c r="E23">
        <v>300</v>
      </c>
      <c r="F23">
        <v>4</v>
      </c>
      <c r="G23">
        <v>1200</v>
      </c>
      <c r="H23" t="s">
        <v>56</v>
      </c>
      <c r="I23" t="s">
        <v>22</v>
      </c>
      <c r="J23" t="s">
        <v>16</v>
      </c>
      <c r="K23" t="s">
        <v>17</v>
      </c>
    </row>
    <row r="24" spans="1:11" x14ac:dyDescent="0.3">
      <c r="A24" t="s">
        <v>59</v>
      </c>
      <c r="B24" t="s">
        <v>60</v>
      </c>
      <c r="C24">
        <v>2017</v>
      </c>
      <c r="D24" t="s">
        <v>13</v>
      </c>
      <c r="E24">
        <v>650</v>
      </c>
      <c r="F24">
        <v>5</v>
      </c>
      <c r="G24">
        <v>3250</v>
      </c>
      <c r="H24" t="s">
        <v>56</v>
      </c>
      <c r="I24" t="s">
        <v>15</v>
      </c>
      <c r="J24" t="s">
        <v>19</v>
      </c>
      <c r="K24" t="s">
        <v>20</v>
      </c>
    </row>
    <row r="25" spans="1:11" x14ac:dyDescent="0.3">
      <c r="A25" t="s">
        <v>61</v>
      </c>
      <c r="B25" t="s">
        <v>12</v>
      </c>
      <c r="C25">
        <v>2016</v>
      </c>
      <c r="D25" t="s">
        <v>13</v>
      </c>
      <c r="E25">
        <v>650</v>
      </c>
      <c r="F25">
        <v>5</v>
      </c>
      <c r="G25">
        <v>3250</v>
      </c>
      <c r="H25" t="s">
        <v>14</v>
      </c>
      <c r="I25" t="s">
        <v>15</v>
      </c>
      <c r="J25" t="s">
        <v>19</v>
      </c>
      <c r="K25" t="s">
        <v>31</v>
      </c>
    </row>
    <row r="26" spans="1:11" x14ac:dyDescent="0.3">
      <c r="A26" t="s">
        <v>62</v>
      </c>
      <c r="B26" t="s">
        <v>12</v>
      </c>
      <c r="C26">
        <v>2016</v>
      </c>
      <c r="D26" t="s">
        <v>13</v>
      </c>
      <c r="E26">
        <v>650</v>
      </c>
      <c r="F26">
        <v>4</v>
      </c>
      <c r="G26">
        <v>2600</v>
      </c>
      <c r="H26" t="s">
        <v>14</v>
      </c>
      <c r="I26" t="s">
        <v>22</v>
      </c>
      <c r="J26" t="s">
        <v>19</v>
      </c>
      <c r="K26" t="s">
        <v>31</v>
      </c>
    </row>
    <row r="27" spans="1:11" x14ac:dyDescent="0.3">
      <c r="A27" t="s">
        <v>63</v>
      </c>
      <c r="B27" t="s">
        <v>12</v>
      </c>
      <c r="C27">
        <v>2016</v>
      </c>
      <c r="D27" t="s">
        <v>28</v>
      </c>
      <c r="E27">
        <v>300</v>
      </c>
      <c r="F27">
        <v>5</v>
      </c>
      <c r="G27">
        <v>1500</v>
      </c>
      <c r="H27" t="s">
        <v>14</v>
      </c>
      <c r="I27" t="s">
        <v>25</v>
      </c>
      <c r="J27" t="s">
        <v>19</v>
      </c>
      <c r="K27" t="s">
        <v>31</v>
      </c>
    </row>
    <row r="28" spans="1:11" x14ac:dyDescent="0.3">
      <c r="A28" t="s">
        <v>64</v>
      </c>
      <c r="B28" t="s">
        <v>12</v>
      </c>
      <c r="C28">
        <v>2016</v>
      </c>
      <c r="D28" t="s">
        <v>28</v>
      </c>
      <c r="E28">
        <v>300</v>
      </c>
      <c r="F28">
        <v>7</v>
      </c>
      <c r="G28">
        <v>2100</v>
      </c>
      <c r="H28" t="s">
        <v>24</v>
      </c>
      <c r="I28" t="s">
        <v>22</v>
      </c>
      <c r="J28" t="s">
        <v>16</v>
      </c>
      <c r="K28" t="s">
        <v>17</v>
      </c>
    </row>
    <row r="29" spans="1:11" x14ac:dyDescent="0.3">
      <c r="A29" t="s">
        <v>65</v>
      </c>
      <c r="B29" t="s">
        <v>12</v>
      </c>
      <c r="C29">
        <v>2016</v>
      </c>
      <c r="D29" t="s">
        <v>33</v>
      </c>
      <c r="E29">
        <v>150</v>
      </c>
      <c r="F29">
        <v>5</v>
      </c>
      <c r="G29">
        <v>750</v>
      </c>
      <c r="H29" t="s">
        <v>24</v>
      </c>
      <c r="I29" t="s">
        <v>15</v>
      </c>
      <c r="J29" t="s">
        <v>16</v>
      </c>
      <c r="K29" t="s">
        <v>17</v>
      </c>
    </row>
    <row r="30" spans="1:11" x14ac:dyDescent="0.3">
      <c r="A30" t="s">
        <v>66</v>
      </c>
      <c r="B30" t="s">
        <v>30</v>
      </c>
      <c r="C30">
        <v>2016</v>
      </c>
      <c r="D30" t="s">
        <v>15</v>
      </c>
      <c r="E30">
        <v>425</v>
      </c>
      <c r="F30">
        <v>4</v>
      </c>
      <c r="G30">
        <v>1700</v>
      </c>
      <c r="H30" t="s">
        <v>24</v>
      </c>
      <c r="I30" t="s">
        <v>15</v>
      </c>
      <c r="J30" t="s">
        <v>19</v>
      </c>
      <c r="K30" t="s">
        <v>17</v>
      </c>
    </row>
    <row r="31" spans="1:11" x14ac:dyDescent="0.3">
      <c r="A31" t="s">
        <v>58</v>
      </c>
      <c r="B31" t="s">
        <v>30</v>
      </c>
      <c r="C31">
        <v>2016</v>
      </c>
      <c r="D31" t="s">
        <v>15</v>
      </c>
      <c r="E31">
        <v>425</v>
      </c>
      <c r="F31">
        <v>7</v>
      </c>
      <c r="G31">
        <v>2975</v>
      </c>
      <c r="H31" t="s">
        <v>34</v>
      </c>
      <c r="I31" t="s">
        <v>22</v>
      </c>
      <c r="J31" t="s">
        <v>16</v>
      </c>
      <c r="K31" t="s">
        <v>26</v>
      </c>
    </row>
    <row r="32" spans="1:11" x14ac:dyDescent="0.3">
      <c r="A32" t="s">
        <v>67</v>
      </c>
      <c r="B32" t="s">
        <v>30</v>
      </c>
      <c r="C32">
        <v>2016</v>
      </c>
      <c r="D32" t="s">
        <v>13</v>
      </c>
      <c r="E32">
        <v>650</v>
      </c>
      <c r="F32">
        <v>3</v>
      </c>
      <c r="G32">
        <v>1950</v>
      </c>
      <c r="H32" t="s">
        <v>37</v>
      </c>
      <c r="I32" t="s">
        <v>25</v>
      </c>
      <c r="J32" t="s">
        <v>19</v>
      </c>
      <c r="K32" t="s">
        <v>20</v>
      </c>
    </row>
    <row r="33" spans="1:11" x14ac:dyDescent="0.3">
      <c r="A33" t="s">
        <v>68</v>
      </c>
      <c r="B33" t="s">
        <v>30</v>
      </c>
      <c r="C33">
        <v>2016</v>
      </c>
      <c r="D33" t="s">
        <v>13</v>
      </c>
      <c r="E33">
        <v>650</v>
      </c>
      <c r="F33">
        <v>3</v>
      </c>
      <c r="G33">
        <v>1950</v>
      </c>
      <c r="H33" t="s">
        <v>39</v>
      </c>
      <c r="I33" t="s">
        <v>22</v>
      </c>
      <c r="J33" t="s">
        <v>19</v>
      </c>
      <c r="K33" t="s">
        <v>31</v>
      </c>
    </row>
    <row r="34" spans="1:11" x14ac:dyDescent="0.3">
      <c r="A34" t="s">
        <v>68</v>
      </c>
      <c r="B34" t="s">
        <v>30</v>
      </c>
      <c r="C34">
        <v>2016</v>
      </c>
      <c r="D34" t="s">
        <v>13</v>
      </c>
      <c r="E34">
        <v>650</v>
      </c>
      <c r="F34">
        <v>5</v>
      </c>
      <c r="G34">
        <v>3250</v>
      </c>
      <c r="H34" t="s">
        <v>39</v>
      </c>
      <c r="I34" t="s">
        <v>15</v>
      </c>
      <c r="J34" t="s">
        <v>19</v>
      </c>
      <c r="K34" t="s">
        <v>31</v>
      </c>
    </row>
    <row r="35" spans="1:11" x14ac:dyDescent="0.3">
      <c r="A35" t="s">
        <v>36</v>
      </c>
      <c r="B35" t="s">
        <v>30</v>
      </c>
      <c r="C35">
        <v>2016</v>
      </c>
      <c r="D35" t="s">
        <v>13</v>
      </c>
      <c r="E35">
        <v>650</v>
      </c>
      <c r="F35">
        <v>5</v>
      </c>
      <c r="G35">
        <v>3250</v>
      </c>
      <c r="H35" t="s">
        <v>41</v>
      </c>
      <c r="I35" t="s">
        <v>15</v>
      </c>
      <c r="J35" t="s">
        <v>16</v>
      </c>
      <c r="K35" t="s">
        <v>17</v>
      </c>
    </row>
    <row r="36" spans="1:11" x14ac:dyDescent="0.3">
      <c r="A36" t="s">
        <v>69</v>
      </c>
      <c r="B36" t="s">
        <v>30</v>
      </c>
      <c r="C36">
        <v>2016</v>
      </c>
      <c r="D36" t="s">
        <v>28</v>
      </c>
      <c r="E36">
        <v>300</v>
      </c>
      <c r="F36">
        <v>4</v>
      </c>
      <c r="G36">
        <v>1200</v>
      </c>
      <c r="H36" t="s">
        <v>43</v>
      </c>
      <c r="I36" t="s">
        <v>22</v>
      </c>
      <c r="J36" t="s">
        <v>16</v>
      </c>
      <c r="K36" t="s">
        <v>17</v>
      </c>
    </row>
    <row r="37" spans="1:11" x14ac:dyDescent="0.3">
      <c r="A37" t="s">
        <v>67</v>
      </c>
      <c r="B37" t="s">
        <v>30</v>
      </c>
      <c r="C37">
        <v>2016</v>
      </c>
      <c r="D37" t="s">
        <v>28</v>
      </c>
      <c r="E37">
        <v>300</v>
      </c>
      <c r="F37">
        <v>4</v>
      </c>
      <c r="G37">
        <v>1200</v>
      </c>
      <c r="H37" t="s">
        <v>45</v>
      </c>
      <c r="I37" t="s">
        <v>25</v>
      </c>
      <c r="J37" t="s">
        <v>19</v>
      </c>
      <c r="K37" t="s">
        <v>17</v>
      </c>
    </row>
    <row r="38" spans="1:11" x14ac:dyDescent="0.3">
      <c r="A38" t="s">
        <v>11</v>
      </c>
      <c r="B38" t="s">
        <v>49</v>
      </c>
      <c r="C38">
        <v>2016</v>
      </c>
      <c r="D38" t="s">
        <v>33</v>
      </c>
      <c r="E38">
        <v>150</v>
      </c>
      <c r="F38">
        <v>4</v>
      </c>
      <c r="G38">
        <v>600</v>
      </c>
      <c r="H38" t="s">
        <v>45</v>
      </c>
      <c r="I38" t="s">
        <v>22</v>
      </c>
      <c r="J38" t="s">
        <v>19</v>
      </c>
      <c r="K38" t="s">
        <v>26</v>
      </c>
    </row>
    <row r="39" spans="1:11" x14ac:dyDescent="0.3">
      <c r="A39" t="s">
        <v>70</v>
      </c>
      <c r="B39" t="s">
        <v>49</v>
      </c>
      <c r="C39">
        <v>2016</v>
      </c>
      <c r="D39" t="s">
        <v>15</v>
      </c>
      <c r="E39">
        <v>425</v>
      </c>
      <c r="F39">
        <v>5</v>
      </c>
      <c r="G39">
        <v>2125</v>
      </c>
      <c r="H39" t="s">
        <v>45</v>
      </c>
      <c r="I39" t="s">
        <v>15</v>
      </c>
      <c r="J39" t="s">
        <v>19</v>
      </c>
      <c r="K39" t="s">
        <v>26</v>
      </c>
    </row>
    <row r="40" spans="1:11" x14ac:dyDescent="0.3">
      <c r="A40" t="s">
        <v>71</v>
      </c>
      <c r="B40" t="s">
        <v>49</v>
      </c>
      <c r="C40">
        <v>2016</v>
      </c>
      <c r="D40" t="s">
        <v>15</v>
      </c>
      <c r="E40">
        <v>425</v>
      </c>
      <c r="F40">
        <v>4</v>
      </c>
      <c r="G40">
        <v>1700</v>
      </c>
      <c r="H40" t="s">
        <v>50</v>
      </c>
      <c r="I40" t="s">
        <v>15</v>
      </c>
      <c r="J40" t="s">
        <v>19</v>
      </c>
      <c r="K40" t="s">
        <v>17</v>
      </c>
    </row>
    <row r="41" spans="1:11" x14ac:dyDescent="0.3">
      <c r="A41" t="s">
        <v>72</v>
      </c>
      <c r="B41" t="s">
        <v>49</v>
      </c>
      <c r="C41">
        <v>2016</v>
      </c>
      <c r="D41" t="s">
        <v>15</v>
      </c>
      <c r="E41">
        <v>425</v>
      </c>
      <c r="F41">
        <v>7</v>
      </c>
      <c r="G41">
        <v>2975</v>
      </c>
      <c r="H41" t="s">
        <v>50</v>
      </c>
      <c r="I41" t="s">
        <v>15</v>
      </c>
      <c r="J41" t="s">
        <v>19</v>
      </c>
      <c r="K41" t="s">
        <v>31</v>
      </c>
    </row>
    <row r="42" spans="1:11" x14ac:dyDescent="0.3">
      <c r="A42" t="s">
        <v>73</v>
      </c>
      <c r="B42" t="s">
        <v>49</v>
      </c>
      <c r="C42">
        <v>2016</v>
      </c>
      <c r="D42" t="s">
        <v>33</v>
      </c>
      <c r="E42">
        <v>150</v>
      </c>
      <c r="F42">
        <v>7</v>
      </c>
      <c r="G42">
        <v>1050</v>
      </c>
      <c r="H42" t="s">
        <v>50</v>
      </c>
      <c r="I42" t="s">
        <v>22</v>
      </c>
      <c r="J42" t="s">
        <v>16</v>
      </c>
      <c r="K42" t="s">
        <v>31</v>
      </c>
    </row>
    <row r="43" spans="1:11" x14ac:dyDescent="0.3">
      <c r="A43" t="s">
        <v>74</v>
      </c>
      <c r="B43" t="s">
        <v>49</v>
      </c>
      <c r="C43">
        <v>2016</v>
      </c>
      <c r="D43" t="s">
        <v>13</v>
      </c>
      <c r="E43">
        <v>650</v>
      </c>
      <c r="F43">
        <v>6</v>
      </c>
      <c r="G43">
        <v>3900</v>
      </c>
      <c r="H43" t="s">
        <v>50</v>
      </c>
      <c r="I43" t="s">
        <v>25</v>
      </c>
      <c r="J43" t="s">
        <v>16</v>
      </c>
      <c r="K43" t="s">
        <v>31</v>
      </c>
    </row>
    <row r="44" spans="1:11" x14ac:dyDescent="0.3">
      <c r="A44" t="s">
        <v>75</v>
      </c>
      <c r="B44" t="s">
        <v>49</v>
      </c>
      <c r="C44">
        <v>2016</v>
      </c>
      <c r="D44" t="s">
        <v>15</v>
      </c>
      <c r="E44">
        <v>425</v>
      </c>
      <c r="F44">
        <v>6</v>
      </c>
      <c r="G44">
        <v>2550</v>
      </c>
      <c r="H44" t="s">
        <v>56</v>
      </c>
      <c r="I44" t="s">
        <v>22</v>
      </c>
      <c r="J44" t="s">
        <v>19</v>
      </c>
      <c r="K44" t="s">
        <v>20</v>
      </c>
    </row>
    <row r="45" spans="1:11" x14ac:dyDescent="0.3">
      <c r="A45" t="s">
        <v>76</v>
      </c>
      <c r="B45" t="s">
        <v>49</v>
      </c>
      <c r="C45">
        <v>2016</v>
      </c>
      <c r="D45" t="s">
        <v>28</v>
      </c>
      <c r="E45">
        <v>300</v>
      </c>
      <c r="F45">
        <v>3</v>
      </c>
      <c r="G45">
        <v>900</v>
      </c>
      <c r="H45" t="s">
        <v>56</v>
      </c>
      <c r="I45" t="s">
        <v>15</v>
      </c>
      <c r="J45" t="s">
        <v>19</v>
      </c>
      <c r="K45" t="s">
        <v>53</v>
      </c>
    </row>
    <row r="46" spans="1:11" x14ac:dyDescent="0.3">
      <c r="A46" t="s">
        <v>77</v>
      </c>
      <c r="B46" t="s">
        <v>49</v>
      </c>
      <c r="C46">
        <v>2016</v>
      </c>
      <c r="D46" t="s">
        <v>13</v>
      </c>
      <c r="E46">
        <v>650</v>
      </c>
      <c r="F46">
        <v>7</v>
      </c>
      <c r="G46">
        <v>4550</v>
      </c>
      <c r="H46" t="s">
        <v>56</v>
      </c>
      <c r="I46" t="s">
        <v>15</v>
      </c>
      <c r="J46" t="s">
        <v>19</v>
      </c>
      <c r="K46" t="s">
        <v>26</v>
      </c>
    </row>
    <row r="47" spans="1:11" x14ac:dyDescent="0.3">
      <c r="A47" t="s">
        <v>78</v>
      </c>
      <c r="B47" t="s">
        <v>49</v>
      </c>
      <c r="C47">
        <v>2016</v>
      </c>
      <c r="D47" t="s">
        <v>15</v>
      </c>
      <c r="E47">
        <v>425</v>
      </c>
      <c r="F47">
        <v>5</v>
      </c>
      <c r="G47">
        <v>2125</v>
      </c>
      <c r="H47" t="s">
        <v>56</v>
      </c>
      <c r="I47" t="s">
        <v>15</v>
      </c>
      <c r="J47" t="s">
        <v>19</v>
      </c>
      <c r="K47" t="s">
        <v>26</v>
      </c>
    </row>
    <row r="48" spans="1:11" x14ac:dyDescent="0.3">
      <c r="A48" t="s">
        <v>79</v>
      </c>
      <c r="B48" t="s">
        <v>12</v>
      </c>
      <c r="C48">
        <v>2017</v>
      </c>
      <c r="D48" t="s">
        <v>28</v>
      </c>
      <c r="E48">
        <v>300</v>
      </c>
      <c r="F48">
        <v>3</v>
      </c>
      <c r="G48">
        <v>900</v>
      </c>
      <c r="H48" t="s">
        <v>14</v>
      </c>
      <c r="I48" t="s">
        <v>22</v>
      </c>
      <c r="J48" t="s">
        <v>19</v>
      </c>
      <c r="K48" t="s">
        <v>17</v>
      </c>
    </row>
    <row r="49" spans="1:11" x14ac:dyDescent="0.3">
      <c r="A49" t="s">
        <v>80</v>
      </c>
      <c r="B49" t="s">
        <v>12</v>
      </c>
      <c r="C49">
        <v>2017</v>
      </c>
      <c r="D49" t="s">
        <v>33</v>
      </c>
      <c r="E49">
        <v>150</v>
      </c>
      <c r="F49">
        <v>4</v>
      </c>
      <c r="G49">
        <v>600</v>
      </c>
      <c r="H49" t="s">
        <v>14</v>
      </c>
      <c r="I49" t="s">
        <v>25</v>
      </c>
      <c r="J49" t="s">
        <v>16</v>
      </c>
      <c r="K49" t="s">
        <v>17</v>
      </c>
    </row>
    <row r="50" spans="1:11" x14ac:dyDescent="0.3">
      <c r="A50" t="s">
        <v>18</v>
      </c>
      <c r="B50" t="s">
        <v>12</v>
      </c>
      <c r="C50">
        <v>2017</v>
      </c>
      <c r="D50" t="s">
        <v>13</v>
      </c>
      <c r="E50">
        <v>650</v>
      </c>
      <c r="F50">
        <v>6</v>
      </c>
      <c r="G50">
        <v>3900</v>
      </c>
      <c r="H50" t="s">
        <v>14</v>
      </c>
      <c r="I50" t="s">
        <v>22</v>
      </c>
      <c r="J50" t="s">
        <v>16</v>
      </c>
      <c r="K50" t="s">
        <v>20</v>
      </c>
    </row>
    <row r="51" spans="1:11" x14ac:dyDescent="0.3">
      <c r="A51" t="s">
        <v>81</v>
      </c>
      <c r="B51" t="s">
        <v>30</v>
      </c>
      <c r="C51">
        <v>2017</v>
      </c>
      <c r="D51" t="s">
        <v>13</v>
      </c>
      <c r="E51">
        <v>650</v>
      </c>
      <c r="F51">
        <v>3</v>
      </c>
      <c r="G51">
        <v>1950</v>
      </c>
      <c r="H51" t="s">
        <v>24</v>
      </c>
      <c r="I51" t="s">
        <v>15</v>
      </c>
      <c r="J51" t="s">
        <v>19</v>
      </c>
      <c r="K51" t="s">
        <v>31</v>
      </c>
    </row>
    <row r="52" spans="1:11" x14ac:dyDescent="0.3">
      <c r="A52" t="s">
        <v>82</v>
      </c>
      <c r="B52" t="s">
        <v>30</v>
      </c>
      <c r="C52">
        <v>2017</v>
      </c>
      <c r="D52" t="s">
        <v>13</v>
      </c>
      <c r="E52">
        <v>650</v>
      </c>
      <c r="F52">
        <v>5</v>
      </c>
      <c r="G52">
        <v>3250</v>
      </c>
      <c r="H52" t="s">
        <v>24</v>
      </c>
      <c r="I52" t="s">
        <v>15</v>
      </c>
      <c r="J52" t="s">
        <v>19</v>
      </c>
      <c r="K52" t="s">
        <v>31</v>
      </c>
    </row>
    <row r="53" spans="1:11" x14ac:dyDescent="0.3">
      <c r="A53" t="s">
        <v>83</v>
      </c>
      <c r="B53" t="s">
        <v>30</v>
      </c>
      <c r="C53">
        <v>2017</v>
      </c>
      <c r="D53" t="s">
        <v>13</v>
      </c>
      <c r="E53">
        <v>650</v>
      </c>
      <c r="F53">
        <v>4</v>
      </c>
      <c r="G53">
        <v>2600</v>
      </c>
      <c r="H53" t="s">
        <v>24</v>
      </c>
      <c r="I53" t="s">
        <v>15</v>
      </c>
      <c r="J53" t="s">
        <v>19</v>
      </c>
      <c r="K53" t="s">
        <v>17</v>
      </c>
    </row>
    <row r="54" spans="1:11" x14ac:dyDescent="0.3">
      <c r="A54" t="s">
        <v>84</v>
      </c>
      <c r="B54" t="s">
        <v>30</v>
      </c>
      <c r="C54">
        <v>2017</v>
      </c>
      <c r="D54" t="s">
        <v>28</v>
      </c>
      <c r="E54">
        <v>300</v>
      </c>
      <c r="F54">
        <v>4</v>
      </c>
      <c r="G54">
        <v>1200</v>
      </c>
      <c r="H54" t="s">
        <v>34</v>
      </c>
      <c r="I54" t="s">
        <v>22</v>
      </c>
      <c r="J54" t="s">
        <v>19</v>
      </c>
      <c r="K54" t="s">
        <v>17</v>
      </c>
    </row>
    <row r="55" spans="1:11" x14ac:dyDescent="0.3">
      <c r="A55" t="s">
        <v>85</v>
      </c>
      <c r="B55" t="s">
        <v>30</v>
      </c>
      <c r="C55">
        <v>2017</v>
      </c>
      <c r="D55" t="s">
        <v>28</v>
      </c>
      <c r="E55">
        <v>300</v>
      </c>
      <c r="F55">
        <v>6</v>
      </c>
      <c r="G55">
        <v>1800</v>
      </c>
      <c r="H55" t="s">
        <v>34</v>
      </c>
      <c r="I55" t="s">
        <v>25</v>
      </c>
      <c r="J55" t="s">
        <v>19</v>
      </c>
      <c r="K55" t="s">
        <v>17</v>
      </c>
    </row>
    <row r="56" spans="1:11" x14ac:dyDescent="0.3">
      <c r="A56" t="s">
        <v>86</v>
      </c>
      <c r="B56" t="s">
        <v>30</v>
      </c>
      <c r="C56">
        <v>2017</v>
      </c>
      <c r="D56" t="s">
        <v>33</v>
      </c>
      <c r="E56">
        <v>150</v>
      </c>
      <c r="F56">
        <v>5</v>
      </c>
      <c r="G56">
        <v>750</v>
      </c>
      <c r="H56" t="s">
        <v>37</v>
      </c>
      <c r="I56" t="s">
        <v>15</v>
      </c>
      <c r="J56" t="s">
        <v>16</v>
      </c>
      <c r="K56" t="s">
        <v>17</v>
      </c>
    </row>
    <row r="57" spans="1:11" x14ac:dyDescent="0.3">
      <c r="A57" t="s">
        <v>87</v>
      </c>
      <c r="B57" t="s">
        <v>49</v>
      </c>
      <c r="C57">
        <v>2017</v>
      </c>
      <c r="D57" t="s">
        <v>15</v>
      </c>
      <c r="E57">
        <v>425</v>
      </c>
      <c r="F57">
        <v>6</v>
      </c>
      <c r="G57">
        <v>2550</v>
      </c>
      <c r="H57" t="s">
        <v>39</v>
      </c>
      <c r="I57" t="s">
        <v>15</v>
      </c>
      <c r="J57" t="s">
        <v>16</v>
      </c>
      <c r="K57" t="s">
        <v>17</v>
      </c>
    </row>
    <row r="58" spans="1:11" x14ac:dyDescent="0.3">
      <c r="A58" t="s">
        <v>88</v>
      </c>
      <c r="B58" t="s">
        <v>49</v>
      </c>
      <c r="C58">
        <v>2017</v>
      </c>
      <c r="D58" t="s">
        <v>15</v>
      </c>
      <c r="E58">
        <v>425</v>
      </c>
      <c r="F58">
        <v>6</v>
      </c>
      <c r="G58">
        <v>2550</v>
      </c>
      <c r="H58" t="s">
        <v>41</v>
      </c>
      <c r="I58" t="s">
        <v>15</v>
      </c>
      <c r="J58" t="s">
        <v>19</v>
      </c>
      <c r="K58" t="s">
        <v>17</v>
      </c>
    </row>
    <row r="59" spans="1:11" x14ac:dyDescent="0.3">
      <c r="A59" t="s">
        <v>32</v>
      </c>
      <c r="B59" t="s">
        <v>49</v>
      </c>
      <c r="C59">
        <v>2017</v>
      </c>
      <c r="D59" t="s">
        <v>15</v>
      </c>
      <c r="E59">
        <v>425</v>
      </c>
      <c r="F59">
        <v>5</v>
      </c>
      <c r="G59">
        <v>2125</v>
      </c>
      <c r="H59" t="s">
        <v>43</v>
      </c>
      <c r="I59" t="s">
        <v>22</v>
      </c>
      <c r="J59" t="s">
        <v>19</v>
      </c>
      <c r="K59" t="s">
        <v>20</v>
      </c>
    </row>
    <row r="60" spans="1:11" x14ac:dyDescent="0.3">
      <c r="A60" t="s">
        <v>89</v>
      </c>
      <c r="B60" t="s">
        <v>49</v>
      </c>
      <c r="C60">
        <v>2017</v>
      </c>
      <c r="D60" t="s">
        <v>33</v>
      </c>
      <c r="E60">
        <v>150</v>
      </c>
      <c r="F60">
        <v>4</v>
      </c>
      <c r="G60">
        <v>600</v>
      </c>
      <c r="H60" t="s">
        <v>45</v>
      </c>
      <c r="I60" t="s">
        <v>25</v>
      </c>
      <c r="J60" t="s">
        <v>19</v>
      </c>
      <c r="K60" t="s">
        <v>31</v>
      </c>
    </row>
    <row r="61" spans="1:11" x14ac:dyDescent="0.3">
      <c r="A61" t="s">
        <v>90</v>
      </c>
      <c r="B61" t="s">
        <v>49</v>
      </c>
      <c r="C61">
        <v>2017</v>
      </c>
      <c r="D61" t="s">
        <v>13</v>
      </c>
      <c r="E61">
        <v>650</v>
      </c>
      <c r="F61">
        <v>3</v>
      </c>
      <c r="G61">
        <v>1950</v>
      </c>
      <c r="H61" t="s">
        <v>45</v>
      </c>
      <c r="I61" t="s">
        <v>15</v>
      </c>
      <c r="J61" t="s">
        <v>19</v>
      </c>
      <c r="K61" t="s">
        <v>31</v>
      </c>
    </row>
    <row r="62" spans="1:11" x14ac:dyDescent="0.3">
      <c r="A62" t="s">
        <v>91</v>
      </c>
      <c r="B62" t="s">
        <v>60</v>
      </c>
      <c r="C62">
        <v>2017</v>
      </c>
      <c r="D62" t="s">
        <v>15</v>
      </c>
      <c r="E62">
        <v>425</v>
      </c>
      <c r="F62">
        <v>5</v>
      </c>
      <c r="G62">
        <v>2125</v>
      </c>
      <c r="H62" t="s">
        <v>45</v>
      </c>
      <c r="I62" t="s">
        <v>15</v>
      </c>
      <c r="J62" t="s">
        <v>19</v>
      </c>
      <c r="K62" t="s">
        <v>31</v>
      </c>
    </row>
    <row r="63" spans="1:11" x14ac:dyDescent="0.3">
      <c r="A63" t="s">
        <v>92</v>
      </c>
      <c r="B63" t="s">
        <v>12</v>
      </c>
      <c r="C63">
        <v>2017</v>
      </c>
      <c r="D63" t="s">
        <v>28</v>
      </c>
      <c r="E63">
        <v>300</v>
      </c>
      <c r="F63">
        <v>3</v>
      </c>
      <c r="G63">
        <v>900</v>
      </c>
      <c r="H63" t="s">
        <v>50</v>
      </c>
      <c r="I63" t="s">
        <v>15</v>
      </c>
      <c r="J63" t="s">
        <v>16</v>
      </c>
      <c r="K63" t="s">
        <v>17</v>
      </c>
    </row>
    <row r="64" spans="1:11" x14ac:dyDescent="0.3">
      <c r="A64" t="s">
        <v>32</v>
      </c>
      <c r="B64" t="s">
        <v>12</v>
      </c>
      <c r="C64">
        <v>2017</v>
      </c>
      <c r="D64" t="s">
        <v>13</v>
      </c>
      <c r="E64">
        <v>650</v>
      </c>
      <c r="F64">
        <v>4</v>
      </c>
      <c r="G64">
        <v>2600</v>
      </c>
      <c r="H64" t="s">
        <v>50</v>
      </c>
      <c r="I64" t="s">
        <v>22</v>
      </c>
      <c r="J64" t="s">
        <v>16</v>
      </c>
      <c r="K64" t="s">
        <v>17</v>
      </c>
    </row>
    <row r="65" spans="1:11" x14ac:dyDescent="0.3">
      <c r="A65" t="s">
        <v>93</v>
      </c>
      <c r="B65" t="s">
        <v>12</v>
      </c>
      <c r="C65">
        <v>2017</v>
      </c>
      <c r="D65" t="s">
        <v>15</v>
      </c>
      <c r="E65">
        <v>425</v>
      </c>
      <c r="F65">
        <v>6</v>
      </c>
      <c r="G65">
        <v>2550</v>
      </c>
      <c r="H65" t="s">
        <v>50</v>
      </c>
      <c r="I65" t="s">
        <v>25</v>
      </c>
      <c r="J65" t="s">
        <v>19</v>
      </c>
      <c r="K65" t="s">
        <v>17</v>
      </c>
    </row>
    <row r="66" spans="1:11" x14ac:dyDescent="0.3">
      <c r="A66" t="s">
        <v>32</v>
      </c>
      <c r="B66" t="s">
        <v>12</v>
      </c>
      <c r="C66">
        <v>2017</v>
      </c>
      <c r="D66" t="s">
        <v>28</v>
      </c>
      <c r="E66">
        <v>300</v>
      </c>
      <c r="F66">
        <v>4</v>
      </c>
      <c r="G66">
        <v>1200</v>
      </c>
      <c r="H66" t="s">
        <v>50</v>
      </c>
      <c r="I66" t="s">
        <v>15</v>
      </c>
      <c r="J66" t="s">
        <v>19</v>
      </c>
      <c r="K66" t="s">
        <v>26</v>
      </c>
    </row>
    <row r="67" spans="1:11" x14ac:dyDescent="0.3">
      <c r="A67" t="s">
        <v>94</v>
      </c>
      <c r="B67" t="s">
        <v>30</v>
      </c>
      <c r="C67">
        <v>2017</v>
      </c>
      <c r="D67" t="s">
        <v>33</v>
      </c>
      <c r="E67">
        <v>150</v>
      </c>
      <c r="F67">
        <v>6</v>
      </c>
      <c r="G67">
        <v>900</v>
      </c>
      <c r="H67" t="s">
        <v>56</v>
      </c>
      <c r="I67" t="s">
        <v>15</v>
      </c>
      <c r="J67" t="s">
        <v>19</v>
      </c>
      <c r="K67" t="s">
        <v>20</v>
      </c>
    </row>
    <row r="68" spans="1:11" x14ac:dyDescent="0.3">
      <c r="A68" t="s">
        <v>95</v>
      </c>
      <c r="B68" t="s">
        <v>12</v>
      </c>
      <c r="C68">
        <v>2018</v>
      </c>
      <c r="D68" t="s">
        <v>33</v>
      </c>
      <c r="E68">
        <v>150</v>
      </c>
      <c r="F68">
        <v>5</v>
      </c>
      <c r="G68">
        <v>750</v>
      </c>
      <c r="H68" t="s">
        <v>14</v>
      </c>
      <c r="I68" t="s">
        <v>15</v>
      </c>
      <c r="J68" t="s">
        <v>19</v>
      </c>
      <c r="K68" t="s">
        <v>31</v>
      </c>
    </row>
    <row r="69" spans="1:11" x14ac:dyDescent="0.3">
      <c r="A69" t="s">
        <v>96</v>
      </c>
      <c r="B69" t="s">
        <v>12</v>
      </c>
      <c r="C69">
        <v>2018</v>
      </c>
      <c r="D69" t="s">
        <v>15</v>
      </c>
      <c r="E69">
        <v>425</v>
      </c>
      <c r="F69">
        <v>5</v>
      </c>
      <c r="G69">
        <v>2125</v>
      </c>
      <c r="H69" t="s">
        <v>14</v>
      </c>
      <c r="I69" t="s">
        <v>22</v>
      </c>
      <c r="J69" t="s">
        <v>19</v>
      </c>
      <c r="K69" t="s">
        <v>31</v>
      </c>
    </row>
    <row r="70" spans="1:11" x14ac:dyDescent="0.3">
      <c r="A70" t="s">
        <v>85</v>
      </c>
      <c r="B70" t="s">
        <v>12</v>
      </c>
      <c r="C70">
        <v>2018</v>
      </c>
      <c r="D70" t="s">
        <v>15</v>
      </c>
      <c r="E70">
        <v>425</v>
      </c>
      <c r="F70">
        <v>4</v>
      </c>
      <c r="G70">
        <v>1700</v>
      </c>
      <c r="H70" t="s">
        <v>14</v>
      </c>
      <c r="I70" t="s">
        <v>25</v>
      </c>
      <c r="J70" t="s">
        <v>16</v>
      </c>
      <c r="K70" t="s">
        <v>31</v>
      </c>
    </row>
    <row r="71" spans="1:11" x14ac:dyDescent="0.3">
      <c r="A71" t="s">
        <v>97</v>
      </c>
      <c r="B71" t="s">
        <v>12</v>
      </c>
      <c r="C71">
        <v>2018</v>
      </c>
      <c r="D71" t="s">
        <v>15</v>
      </c>
      <c r="E71">
        <v>425</v>
      </c>
      <c r="F71">
        <v>3</v>
      </c>
      <c r="G71">
        <v>1275</v>
      </c>
      <c r="H71" t="s">
        <v>24</v>
      </c>
      <c r="I71" t="s">
        <v>15</v>
      </c>
      <c r="J71" t="s">
        <v>16</v>
      </c>
      <c r="K71" t="s">
        <v>53</v>
      </c>
    </row>
    <row r="72" spans="1:11" x14ac:dyDescent="0.3">
      <c r="A72" t="s">
        <v>98</v>
      </c>
      <c r="B72" t="s">
        <v>30</v>
      </c>
      <c r="C72">
        <v>2018</v>
      </c>
      <c r="D72" t="s">
        <v>33</v>
      </c>
      <c r="E72">
        <v>150</v>
      </c>
      <c r="F72">
        <v>3</v>
      </c>
      <c r="G72">
        <v>450</v>
      </c>
      <c r="H72" t="s">
        <v>24</v>
      </c>
      <c r="I72" t="s">
        <v>15</v>
      </c>
      <c r="J72" t="s">
        <v>19</v>
      </c>
      <c r="K72" t="s">
        <v>17</v>
      </c>
    </row>
    <row r="73" spans="1:11" x14ac:dyDescent="0.3">
      <c r="A73" t="s">
        <v>99</v>
      </c>
      <c r="B73" t="s">
        <v>30</v>
      </c>
      <c r="C73">
        <v>2018</v>
      </c>
      <c r="D73" t="s">
        <v>13</v>
      </c>
      <c r="E73">
        <v>650</v>
      </c>
      <c r="F73">
        <v>4</v>
      </c>
      <c r="G73">
        <v>2600</v>
      </c>
      <c r="H73" t="s">
        <v>24</v>
      </c>
      <c r="I73" t="s">
        <v>15</v>
      </c>
      <c r="J73" t="s">
        <v>19</v>
      </c>
      <c r="K73" t="s">
        <v>17</v>
      </c>
    </row>
    <row r="74" spans="1:11" x14ac:dyDescent="0.3">
      <c r="A74" t="s">
        <v>100</v>
      </c>
      <c r="B74" t="s">
        <v>30</v>
      </c>
      <c r="C74">
        <v>2018</v>
      </c>
      <c r="D74" t="s">
        <v>15</v>
      </c>
      <c r="E74">
        <v>425</v>
      </c>
      <c r="F74">
        <v>4</v>
      </c>
      <c r="G74">
        <v>1700</v>
      </c>
      <c r="H74" t="s">
        <v>34</v>
      </c>
      <c r="I74" t="s">
        <v>22</v>
      </c>
      <c r="J74" t="s">
        <v>19</v>
      </c>
      <c r="K74" t="s">
        <v>17</v>
      </c>
    </row>
    <row r="75" spans="1:11" x14ac:dyDescent="0.3">
      <c r="A75" t="s">
        <v>101</v>
      </c>
      <c r="B75" t="s">
        <v>30</v>
      </c>
      <c r="C75">
        <v>2018</v>
      </c>
      <c r="D75" t="s">
        <v>28</v>
      </c>
      <c r="E75">
        <v>300</v>
      </c>
      <c r="F75">
        <v>3</v>
      </c>
      <c r="G75">
        <v>900</v>
      </c>
      <c r="H75" t="s">
        <v>34</v>
      </c>
      <c r="I75" t="s">
        <v>15</v>
      </c>
      <c r="J75" t="s">
        <v>19</v>
      </c>
      <c r="K75" t="s">
        <v>17</v>
      </c>
    </row>
    <row r="76" spans="1:11" x14ac:dyDescent="0.3">
      <c r="A76" t="s">
        <v>54</v>
      </c>
      <c r="B76" t="s">
        <v>30</v>
      </c>
      <c r="C76">
        <v>2018</v>
      </c>
      <c r="D76" t="s">
        <v>13</v>
      </c>
      <c r="E76">
        <v>650</v>
      </c>
      <c r="F76">
        <v>5</v>
      </c>
      <c r="G76">
        <v>3250</v>
      </c>
      <c r="H76" t="s">
        <v>37</v>
      </c>
      <c r="I76" t="s">
        <v>22</v>
      </c>
      <c r="J76" t="s">
        <v>19</v>
      </c>
      <c r="K76" t="s">
        <v>31</v>
      </c>
    </row>
    <row r="77" spans="1:11" x14ac:dyDescent="0.3">
      <c r="A77" t="s">
        <v>102</v>
      </c>
      <c r="B77" t="s">
        <v>30</v>
      </c>
      <c r="C77">
        <v>2018</v>
      </c>
      <c r="D77" t="s">
        <v>33</v>
      </c>
      <c r="E77">
        <v>150</v>
      </c>
      <c r="F77">
        <v>7</v>
      </c>
      <c r="G77">
        <v>1050</v>
      </c>
      <c r="H77" t="s">
        <v>39</v>
      </c>
      <c r="I77" t="s">
        <v>25</v>
      </c>
      <c r="J77" t="s">
        <v>19</v>
      </c>
      <c r="K77" t="s">
        <v>31</v>
      </c>
    </row>
    <row r="78" spans="1:11" x14ac:dyDescent="0.3">
      <c r="A78" t="s">
        <v>103</v>
      </c>
      <c r="B78" t="s">
        <v>30</v>
      </c>
      <c r="C78">
        <v>2018</v>
      </c>
      <c r="D78" t="s">
        <v>15</v>
      </c>
      <c r="E78">
        <v>425</v>
      </c>
      <c r="F78">
        <v>3</v>
      </c>
      <c r="G78">
        <v>1275</v>
      </c>
      <c r="H78" t="s">
        <v>41</v>
      </c>
      <c r="I78" t="s">
        <v>15</v>
      </c>
      <c r="J78" t="s">
        <v>19</v>
      </c>
      <c r="K78" t="s">
        <v>31</v>
      </c>
    </row>
    <row r="79" spans="1:11" x14ac:dyDescent="0.3">
      <c r="A79" t="s">
        <v>104</v>
      </c>
      <c r="B79" t="s">
        <v>30</v>
      </c>
      <c r="C79">
        <v>2018</v>
      </c>
      <c r="D79" t="s">
        <v>15</v>
      </c>
      <c r="E79">
        <v>425</v>
      </c>
      <c r="F79">
        <v>3</v>
      </c>
      <c r="G79">
        <v>1275</v>
      </c>
      <c r="H79" t="s">
        <v>43</v>
      </c>
      <c r="I79" t="s">
        <v>15</v>
      </c>
      <c r="J79" t="s">
        <v>19</v>
      </c>
      <c r="K79" t="s">
        <v>20</v>
      </c>
    </row>
    <row r="80" spans="1:11" x14ac:dyDescent="0.3">
      <c r="A80" t="s">
        <v>105</v>
      </c>
      <c r="B80" t="s">
        <v>49</v>
      </c>
      <c r="C80">
        <v>2018</v>
      </c>
      <c r="D80" t="s">
        <v>15</v>
      </c>
      <c r="E80">
        <v>425</v>
      </c>
      <c r="F80">
        <v>6</v>
      </c>
      <c r="G80">
        <v>2550</v>
      </c>
      <c r="H80" t="s">
        <v>45</v>
      </c>
      <c r="I80" t="s">
        <v>15</v>
      </c>
      <c r="J80" t="s">
        <v>16</v>
      </c>
      <c r="K80" t="s">
        <v>53</v>
      </c>
    </row>
    <row r="81" spans="1:11" x14ac:dyDescent="0.3">
      <c r="A81" t="s">
        <v>106</v>
      </c>
      <c r="B81" t="s">
        <v>49</v>
      </c>
      <c r="C81">
        <v>2018</v>
      </c>
      <c r="D81" t="s">
        <v>33</v>
      </c>
      <c r="E81">
        <v>150</v>
      </c>
      <c r="F81">
        <v>6</v>
      </c>
      <c r="G81">
        <v>900</v>
      </c>
      <c r="H81" t="s">
        <v>45</v>
      </c>
      <c r="I81" t="s">
        <v>22</v>
      </c>
      <c r="J81" t="s">
        <v>16</v>
      </c>
      <c r="K81" t="s">
        <v>26</v>
      </c>
    </row>
    <row r="82" spans="1:11" x14ac:dyDescent="0.3">
      <c r="A82" t="s">
        <v>107</v>
      </c>
      <c r="B82" t="s">
        <v>49</v>
      </c>
      <c r="C82">
        <v>2018</v>
      </c>
      <c r="D82" t="s">
        <v>13</v>
      </c>
      <c r="E82">
        <v>650</v>
      </c>
      <c r="F82">
        <v>5</v>
      </c>
      <c r="G82">
        <v>3250</v>
      </c>
      <c r="H82" t="s">
        <v>45</v>
      </c>
      <c r="I82" t="s">
        <v>25</v>
      </c>
      <c r="J82" t="s">
        <v>19</v>
      </c>
      <c r="K82" t="s">
        <v>26</v>
      </c>
    </row>
    <row r="83" spans="1:11" x14ac:dyDescent="0.3">
      <c r="A83" t="s">
        <v>85</v>
      </c>
      <c r="B83" t="s">
        <v>49</v>
      </c>
      <c r="C83">
        <v>2018</v>
      </c>
      <c r="D83" t="s">
        <v>15</v>
      </c>
      <c r="E83">
        <v>425</v>
      </c>
      <c r="F83">
        <v>7</v>
      </c>
      <c r="G83">
        <v>2975</v>
      </c>
      <c r="H83" t="s">
        <v>50</v>
      </c>
      <c r="I83" t="s">
        <v>15</v>
      </c>
      <c r="J83" t="s">
        <v>19</v>
      </c>
      <c r="K83" t="s">
        <v>26</v>
      </c>
    </row>
    <row r="84" spans="1:11" x14ac:dyDescent="0.3">
      <c r="A84" t="s">
        <v>108</v>
      </c>
      <c r="B84" t="s">
        <v>60</v>
      </c>
      <c r="C84">
        <v>2018</v>
      </c>
      <c r="D84" t="s">
        <v>28</v>
      </c>
      <c r="E84">
        <v>300</v>
      </c>
      <c r="F84">
        <v>6</v>
      </c>
      <c r="G84">
        <v>1800</v>
      </c>
      <c r="H84" t="s">
        <v>50</v>
      </c>
      <c r="I84" t="s">
        <v>15</v>
      </c>
      <c r="J84" t="s">
        <v>16</v>
      </c>
      <c r="K84" t="s">
        <v>17</v>
      </c>
    </row>
    <row r="85" spans="1:11" x14ac:dyDescent="0.3">
      <c r="A85" t="s">
        <v>109</v>
      </c>
      <c r="B85" t="s">
        <v>60</v>
      </c>
      <c r="C85">
        <v>2018</v>
      </c>
      <c r="D85" t="s">
        <v>13</v>
      </c>
      <c r="E85">
        <v>650</v>
      </c>
      <c r="F85">
        <v>5</v>
      </c>
      <c r="G85">
        <v>3250</v>
      </c>
      <c r="H85" t="s">
        <v>50</v>
      </c>
      <c r="I85" t="s">
        <v>15</v>
      </c>
      <c r="J85" t="s">
        <v>16</v>
      </c>
      <c r="K85" t="s">
        <v>17</v>
      </c>
    </row>
    <row r="86" spans="1:11" x14ac:dyDescent="0.3">
      <c r="A86" t="s">
        <v>110</v>
      </c>
      <c r="B86" t="s">
        <v>60</v>
      </c>
      <c r="C86">
        <v>2018</v>
      </c>
      <c r="D86" t="s">
        <v>33</v>
      </c>
      <c r="E86">
        <v>150</v>
      </c>
      <c r="F86">
        <v>3</v>
      </c>
      <c r="G86">
        <v>450</v>
      </c>
      <c r="H86" t="s">
        <v>50</v>
      </c>
      <c r="I86" t="s">
        <v>22</v>
      </c>
      <c r="J86" t="s">
        <v>19</v>
      </c>
      <c r="K86" t="s">
        <v>20</v>
      </c>
    </row>
    <row r="87" spans="1:11" x14ac:dyDescent="0.3">
      <c r="A87" t="s">
        <v>111</v>
      </c>
      <c r="B87" t="s">
        <v>60</v>
      </c>
      <c r="C87">
        <v>2018</v>
      </c>
      <c r="D87" t="s">
        <v>15</v>
      </c>
      <c r="E87">
        <v>425</v>
      </c>
      <c r="F87">
        <v>6</v>
      </c>
      <c r="G87">
        <v>2550</v>
      </c>
      <c r="H87" t="s">
        <v>56</v>
      </c>
      <c r="I87" t="s">
        <v>15</v>
      </c>
      <c r="J87" t="s">
        <v>19</v>
      </c>
      <c r="K87" t="s">
        <v>31</v>
      </c>
    </row>
    <row r="88" spans="1:11" x14ac:dyDescent="0.3">
      <c r="A88" t="s">
        <v>79</v>
      </c>
      <c r="B88" t="s">
        <v>12</v>
      </c>
      <c r="C88">
        <v>2019</v>
      </c>
      <c r="D88" t="s">
        <v>15</v>
      </c>
      <c r="E88">
        <v>425</v>
      </c>
      <c r="F88">
        <v>6</v>
      </c>
      <c r="G88">
        <v>2550</v>
      </c>
      <c r="H88" t="s">
        <v>14</v>
      </c>
      <c r="I88" t="s">
        <v>22</v>
      </c>
      <c r="J88" t="s">
        <v>19</v>
      </c>
      <c r="K88" t="s">
        <v>31</v>
      </c>
    </row>
    <row r="89" spans="1:11" x14ac:dyDescent="0.3">
      <c r="A89" t="s">
        <v>80</v>
      </c>
      <c r="B89" t="s">
        <v>12</v>
      </c>
      <c r="C89">
        <v>2019</v>
      </c>
      <c r="D89" t="s">
        <v>15</v>
      </c>
      <c r="E89">
        <v>425</v>
      </c>
      <c r="F89">
        <v>4</v>
      </c>
      <c r="G89">
        <v>1700</v>
      </c>
      <c r="H89" t="s">
        <v>24</v>
      </c>
      <c r="I89" t="s">
        <v>25</v>
      </c>
      <c r="J89" t="s">
        <v>19</v>
      </c>
      <c r="K89" t="s">
        <v>31</v>
      </c>
    </row>
    <row r="90" spans="1:11" x14ac:dyDescent="0.3">
      <c r="A90" t="s">
        <v>18</v>
      </c>
      <c r="B90" t="s">
        <v>12</v>
      </c>
      <c r="C90">
        <v>2019</v>
      </c>
      <c r="D90" t="s">
        <v>33</v>
      </c>
      <c r="E90">
        <v>150</v>
      </c>
      <c r="F90">
        <v>6</v>
      </c>
      <c r="G90">
        <v>900</v>
      </c>
      <c r="H90" t="s">
        <v>24</v>
      </c>
      <c r="I90" t="s">
        <v>15</v>
      </c>
      <c r="J90" t="s">
        <v>16</v>
      </c>
      <c r="K90" t="s">
        <v>17</v>
      </c>
    </row>
    <row r="91" spans="1:11" x14ac:dyDescent="0.3">
      <c r="A91" t="s">
        <v>81</v>
      </c>
      <c r="B91" t="s">
        <v>30</v>
      </c>
      <c r="C91">
        <v>2019</v>
      </c>
      <c r="D91" t="s">
        <v>13</v>
      </c>
      <c r="E91">
        <v>650</v>
      </c>
      <c r="F91">
        <v>7</v>
      </c>
      <c r="G91">
        <v>4550</v>
      </c>
      <c r="H91" t="s">
        <v>34</v>
      </c>
      <c r="I91" t="s">
        <v>15</v>
      </c>
      <c r="J91" t="s">
        <v>16</v>
      </c>
      <c r="K91" t="s">
        <v>17</v>
      </c>
    </row>
    <row r="92" spans="1:11" x14ac:dyDescent="0.3">
      <c r="A92" t="s">
        <v>82</v>
      </c>
      <c r="B92" t="s">
        <v>30</v>
      </c>
      <c r="C92">
        <v>2019</v>
      </c>
      <c r="D92" t="s">
        <v>15</v>
      </c>
      <c r="E92">
        <v>425</v>
      </c>
      <c r="F92">
        <v>4</v>
      </c>
      <c r="G92">
        <v>1700</v>
      </c>
      <c r="H92" t="s">
        <v>37</v>
      </c>
      <c r="I92" t="s">
        <v>15</v>
      </c>
      <c r="J92" t="s">
        <v>19</v>
      </c>
      <c r="K92" t="s">
        <v>17</v>
      </c>
    </row>
    <row r="93" spans="1:11" x14ac:dyDescent="0.3">
      <c r="A93" t="s">
        <v>83</v>
      </c>
      <c r="B93" t="s">
        <v>30</v>
      </c>
      <c r="C93">
        <v>2019</v>
      </c>
      <c r="D93" t="s">
        <v>28</v>
      </c>
      <c r="E93">
        <v>300</v>
      </c>
      <c r="F93">
        <v>6</v>
      </c>
      <c r="G93">
        <v>1800</v>
      </c>
      <c r="H93" t="s">
        <v>39</v>
      </c>
      <c r="I93" t="s">
        <v>22</v>
      </c>
      <c r="J93" t="s">
        <v>16</v>
      </c>
      <c r="K93" t="s">
        <v>26</v>
      </c>
    </row>
    <row r="94" spans="1:11" x14ac:dyDescent="0.3">
      <c r="A94" t="s">
        <v>84</v>
      </c>
      <c r="B94" t="s">
        <v>30</v>
      </c>
      <c r="C94">
        <v>2019</v>
      </c>
      <c r="D94" t="s">
        <v>13</v>
      </c>
      <c r="E94">
        <v>650</v>
      </c>
      <c r="F94">
        <v>3</v>
      </c>
      <c r="G94">
        <v>1950</v>
      </c>
      <c r="H94" t="s">
        <v>112</v>
      </c>
      <c r="I94" t="s">
        <v>25</v>
      </c>
      <c r="J94" t="s">
        <v>19</v>
      </c>
      <c r="K94" t="s">
        <v>20</v>
      </c>
    </row>
    <row r="95" spans="1:11" x14ac:dyDescent="0.3">
      <c r="A95" t="s">
        <v>85</v>
      </c>
      <c r="B95" t="s">
        <v>30</v>
      </c>
      <c r="C95">
        <v>2019</v>
      </c>
      <c r="D95" t="s">
        <v>33</v>
      </c>
      <c r="E95">
        <v>150</v>
      </c>
      <c r="F95">
        <v>4</v>
      </c>
      <c r="G95">
        <v>600</v>
      </c>
      <c r="H95" t="s">
        <v>43</v>
      </c>
      <c r="I95" t="s">
        <v>15</v>
      </c>
      <c r="J95" t="s">
        <v>19</v>
      </c>
      <c r="K95" t="s">
        <v>17</v>
      </c>
    </row>
    <row r="96" spans="1:11" x14ac:dyDescent="0.3">
      <c r="A96" t="s">
        <v>86</v>
      </c>
      <c r="B96" t="s">
        <v>30</v>
      </c>
      <c r="C96">
        <v>2019</v>
      </c>
      <c r="D96" t="s">
        <v>15</v>
      </c>
      <c r="E96">
        <v>425</v>
      </c>
      <c r="F96">
        <v>7</v>
      </c>
      <c r="G96">
        <v>2975</v>
      </c>
      <c r="H96" t="s">
        <v>45</v>
      </c>
      <c r="I96" t="s">
        <v>15</v>
      </c>
      <c r="J96" t="s">
        <v>19</v>
      </c>
      <c r="K96" t="s">
        <v>17</v>
      </c>
    </row>
    <row r="97" spans="1:11" x14ac:dyDescent="0.3">
      <c r="A97" t="s">
        <v>87</v>
      </c>
      <c r="B97" t="s">
        <v>49</v>
      </c>
      <c r="C97">
        <v>2019</v>
      </c>
      <c r="D97" t="s">
        <v>15</v>
      </c>
      <c r="E97">
        <v>425</v>
      </c>
      <c r="F97">
        <v>4</v>
      </c>
      <c r="G97">
        <v>1700</v>
      </c>
      <c r="H97" t="s">
        <v>45</v>
      </c>
      <c r="I97" t="s">
        <v>15</v>
      </c>
      <c r="J97" t="s">
        <v>16</v>
      </c>
      <c r="K97" t="s">
        <v>17</v>
      </c>
    </row>
    <row r="98" spans="1:11" x14ac:dyDescent="0.3">
      <c r="A98" t="s">
        <v>88</v>
      </c>
      <c r="B98" t="s">
        <v>49</v>
      </c>
      <c r="C98">
        <v>2019</v>
      </c>
      <c r="D98" t="s">
        <v>15</v>
      </c>
      <c r="E98">
        <v>425</v>
      </c>
      <c r="F98">
        <v>3</v>
      </c>
      <c r="G98">
        <v>1275</v>
      </c>
      <c r="H98" t="s">
        <v>50</v>
      </c>
      <c r="I98" t="s">
        <v>22</v>
      </c>
      <c r="J98" t="s">
        <v>16</v>
      </c>
      <c r="K98" t="s">
        <v>17</v>
      </c>
    </row>
    <row r="99" spans="1:11" x14ac:dyDescent="0.3">
      <c r="A99" t="s">
        <v>32</v>
      </c>
      <c r="B99" t="s">
        <v>49</v>
      </c>
      <c r="C99">
        <v>2019</v>
      </c>
      <c r="D99" t="s">
        <v>33</v>
      </c>
      <c r="E99">
        <v>150</v>
      </c>
      <c r="F99">
        <v>4</v>
      </c>
      <c r="G99">
        <v>600</v>
      </c>
      <c r="H99" t="s">
        <v>113</v>
      </c>
      <c r="I99" t="s">
        <v>15</v>
      </c>
      <c r="J99" t="s">
        <v>19</v>
      </c>
      <c r="K99" t="s">
        <v>17</v>
      </c>
    </row>
    <row r="100" spans="1:11" x14ac:dyDescent="0.3">
      <c r="A100" t="s">
        <v>89</v>
      </c>
      <c r="B100" t="s">
        <v>49</v>
      </c>
      <c r="C100">
        <v>2019</v>
      </c>
      <c r="D100" t="s">
        <v>13</v>
      </c>
      <c r="E100">
        <v>650</v>
      </c>
      <c r="F100">
        <v>4</v>
      </c>
      <c r="G100">
        <v>2600</v>
      </c>
      <c r="H100" t="s">
        <v>114</v>
      </c>
      <c r="I100" t="s">
        <v>22</v>
      </c>
      <c r="J100" t="s">
        <v>19</v>
      </c>
      <c r="K100" t="s">
        <v>17</v>
      </c>
    </row>
    <row r="101" spans="1:11" x14ac:dyDescent="0.3">
      <c r="A101" t="s">
        <v>90</v>
      </c>
      <c r="B101" t="s">
        <v>49</v>
      </c>
      <c r="C101">
        <v>2019</v>
      </c>
      <c r="D101" t="s">
        <v>15</v>
      </c>
      <c r="E101">
        <v>425</v>
      </c>
      <c r="F101">
        <v>6</v>
      </c>
      <c r="G101">
        <v>2550</v>
      </c>
      <c r="H101" t="s">
        <v>56</v>
      </c>
      <c r="I101" t="s">
        <v>25</v>
      </c>
      <c r="J101" t="s">
        <v>19</v>
      </c>
      <c r="K101" t="s">
        <v>26</v>
      </c>
    </row>
    <row r="102" spans="1:11" x14ac:dyDescent="0.3">
      <c r="A102" t="s">
        <v>91</v>
      </c>
      <c r="B102" t="s">
        <v>60</v>
      </c>
      <c r="C102">
        <v>2019</v>
      </c>
      <c r="D102" t="s">
        <v>28</v>
      </c>
      <c r="E102">
        <v>300</v>
      </c>
      <c r="F102">
        <v>4</v>
      </c>
      <c r="G102">
        <v>1200</v>
      </c>
      <c r="H102" t="s">
        <v>56</v>
      </c>
      <c r="I102" t="s">
        <v>15</v>
      </c>
      <c r="J102" t="s">
        <v>19</v>
      </c>
      <c r="K102" t="s">
        <v>17</v>
      </c>
    </row>
    <row r="103" spans="1:11" x14ac:dyDescent="0.3">
      <c r="A103" t="s">
        <v>92</v>
      </c>
      <c r="B103" t="s">
        <v>12</v>
      </c>
      <c r="C103">
        <v>2020</v>
      </c>
      <c r="D103" t="s">
        <v>13</v>
      </c>
      <c r="E103">
        <v>650</v>
      </c>
      <c r="F103">
        <v>3</v>
      </c>
      <c r="G103">
        <v>1950</v>
      </c>
      <c r="H103" t="s">
        <v>14</v>
      </c>
      <c r="I103" t="s">
        <v>15</v>
      </c>
      <c r="J103" t="s">
        <v>19</v>
      </c>
      <c r="K103" t="s">
        <v>31</v>
      </c>
    </row>
    <row r="104" spans="1:11" x14ac:dyDescent="0.3">
      <c r="A104" t="s">
        <v>32</v>
      </c>
      <c r="B104" t="s">
        <v>12</v>
      </c>
      <c r="C104">
        <v>2020</v>
      </c>
      <c r="D104" t="s">
        <v>13</v>
      </c>
      <c r="E104">
        <v>650</v>
      </c>
      <c r="F104">
        <v>5</v>
      </c>
      <c r="G104">
        <v>3250</v>
      </c>
      <c r="H104" t="s">
        <v>14</v>
      </c>
      <c r="I104" t="s">
        <v>15</v>
      </c>
      <c r="J104" t="s">
        <v>19</v>
      </c>
      <c r="K104" t="s">
        <v>31</v>
      </c>
    </row>
    <row r="105" spans="1:11" x14ac:dyDescent="0.3">
      <c r="A105" t="s">
        <v>93</v>
      </c>
      <c r="B105" t="s">
        <v>12</v>
      </c>
      <c r="C105">
        <v>2020</v>
      </c>
      <c r="D105" t="s">
        <v>33</v>
      </c>
      <c r="E105">
        <v>150</v>
      </c>
      <c r="F105">
        <v>5</v>
      </c>
      <c r="G105">
        <v>750</v>
      </c>
      <c r="H105" t="s">
        <v>14</v>
      </c>
      <c r="I105" t="s">
        <v>15</v>
      </c>
      <c r="J105" t="s">
        <v>19</v>
      </c>
      <c r="K105" t="s">
        <v>31</v>
      </c>
    </row>
    <row r="106" spans="1:11" x14ac:dyDescent="0.3">
      <c r="A106" t="s">
        <v>32</v>
      </c>
      <c r="B106" t="s">
        <v>12</v>
      </c>
      <c r="C106">
        <v>2020</v>
      </c>
      <c r="D106" t="s">
        <v>15</v>
      </c>
      <c r="E106">
        <v>425</v>
      </c>
      <c r="F106">
        <v>6</v>
      </c>
      <c r="G106">
        <v>2550</v>
      </c>
      <c r="H106" t="s">
        <v>24</v>
      </c>
      <c r="I106" t="s">
        <v>22</v>
      </c>
      <c r="J106" t="s">
        <v>19</v>
      </c>
      <c r="K106" t="s">
        <v>20</v>
      </c>
    </row>
    <row r="107" spans="1:11" x14ac:dyDescent="0.3">
      <c r="A107" t="s">
        <v>94</v>
      </c>
      <c r="B107" t="s">
        <v>30</v>
      </c>
      <c r="C107">
        <v>2020</v>
      </c>
      <c r="D107" t="s">
        <v>28</v>
      </c>
      <c r="E107">
        <v>425</v>
      </c>
      <c r="F107">
        <v>6</v>
      </c>
      <c r="G107">
        <v>2550</v>
      </c>
      <c r="H107" t="s">
        <v>24</v>
      </c>
      <c r="I107" t="s">
        <v>25</v>
      </c>
      <c r="J107" t="s">
        <v>16</v>
      </c>
      <c r="K107" t="s">
        <v>53</v>
      </c>
    </row>
    <row r="108" spans="1:11" x14ac:dyDescent="0.3">
      <c r="A108" t="s">
        <v>115</v>
      </c>
      <c r="B108" t="s">
        <v>30</v>
      </c>
      <c r="C108">
        <v>2020</v>
      </c>
      <c r="D108" t="s">
        <v>15</v>
      </c>
      <c r="E108">
        <v>425</v>
      </c>
      <c r="F108">
        <v>5</v>
      </c>
      <c r="G108">
        <v>2125</v>
      </c>
      <c r="H108" t="s">
        <v>24</v>
      </c>
      <c r="I108" t="s">
        <v>15</v>
      </c>
      <c r="J108" t="s">
        <v>16</v>
      </c>
      <c r="K108" t="s">
        <v>26</v>
      </c>
    </row>
    <row r="109" spans="1:11" x14ac:dyDescent="0.3">
      <c r="A109" t="s">
        <v>116</v>
      </c>
      <c r="B109" t="s">
        <v>30</v>
      </c>
      <c r="C109">
        <v>2020</v>
      </c>
      <c r="D109" t="s">
        <v>33</v>
      </c>
      <c r="E109">
        <v>150</v>
      </c>
      <c r="F109">
        <v>7</v>
      </c>
      <c r="G109">
        <v>1050</v>
      </c>
      <c r="H109" t="s">
        <v>34</v>
      </c>
      <c r="I109" t="s">
        <v>15</v>
      </c>
      <c r="J109" t="s">
        <v>19</v>
      </c>
      <c r="K109" t="s">
        <v>26</v>
      </c>
    </row>
    <row r="110" spans="1:11" x14ac:dyDescent="0.3">
      <c r="A110" t="s">
        <v>117</v>
      </c>
      <c r="B110" t="s">
        <v>30</v>
      </c>
      <c r="C110">
        <v>2020</v>
      </c>
      <c r="D110" t="s">
        <v>13</v>
      </c>
      <c r="E110">
        <v>650</v>
      </c>
      <c r="F110">
        <v>7</v>
      </c>
      <c r="G110">
        <v>4550</v>
      </c>
      <c r="H110" t="s">
        <v>34</v>
      </c>
      <c r="I110" t="s">
        <v>15</v>
      </c>
      <c r="J110" t="s">
        <v>16</v>
      </c>
      <c r="K110" t="s">
        <v>53</v>
      </c>
    </row>
    <row r="111" spans="1:11" x14ac:dyDescent="0.3">
      <c r="A111" t="s">
        <v>52</v>
      </c>
      <c r="B111" t="s">
        <v>30</v>
      </c>
      <c r="C111">
        <v>2020</v>
      </c>
      <c r="D111" t="s">
        <v>33</v>
      </c>
      <c r="E111">
        <v>150</v>
      </c>
      <c r="F111">
        <v>6</v>
      </c>
      <c r="G111">
        <v>900</v>
      </c>
      <c r="H111" t="s">
        <v>37</v>
      </c>
      <c r="I111" t="s">
        <v>22</v>
      </c>
      <c r="J111" t="s">
        <v>19</v>
      </c>
      <c r="K111" t="s">
        <v>26</v>
      </c>
    </row>
    <row r="112" spans="1:11" x14ac:dyDescent="0.3">
      <c r="A112" t="s">
        <v>18</v>
      </c>
      <c r="B112" t="s">
        <v>30</v>
      </c>
      <c r="C112">
        <v>2020</v>
      </c>
      <c r="D112" t="s">
        <v>15</v>
      </c>
      <c r="E112">
        <v>425</v>
      </c>
      <c r="F112">
        <v>7</v>
      </c>
      <c r="G112">
        <v>2975</v>
      </c>
      <c r="H112" t="s">
        <v>39</v>
      </c>
      <c r="I112" t="s">
        <v>15</v>
      </c>
      <c r="J112" t="s">
        <v>19</v>
      </c>
      <c r="K112" t="s">
        <v>26</v>
      </c>
    </row>
    <row r="113" spans="1:11" x14ac:dyDescent="0.3">
      <c r="A113" t="s">
        <v>118</v>
      </c>
      <c r="B113" t="s">
        <v>30</v>
      </c>
      <c r="C113">
        <v>2020</v>
      </c>
      <c r="D113" t="s">
        <v>15</v>
      </c>
      <c r="E113">
        <v>425</v>
      </c>
      <c r="F113">
        <v>4</v>
      </c>
      <c r="G113">
        <v>1700</v>
      </c>
      <c r="H113" t="s">
        <v>41</v>
      </c>
      <c r="I113" t="s">
        <v>22</v>
      </c>
      <c r="J113" t="s">
        <v>19</v>
      </c>
      <c r="K113" t="s">
        <v>26</v>
      </c>
    </row>
    <row r="114" spans="1:11" x14ac:dyDescent="0.3">
      <c r="A114" t="s">
        <v>119</v>
      </c>
      <c r="B114" t="s">
        <v>30</v>
      </c>
      <c r="C114">
        <v>2020</v>
      </c>
      <c r="D114" t="s">
        <v>15</v>
      </c>
      <c r="E114">
        <v>425</v>
      </c>
      <c r="F114">
        <v>7</v>
      </c>
      <c r="G114">
        <v>2975</v>
      </c>
      <c r="H114" t="s">
        <v>43</v>
      </c>
      <c r="I114" t="s">
        <v>25</v>
      </c>
      <c r="J114" t="s">
        <v>19</v>
      </c>
      <c r="K114" t="s">
        <v>17</v>
      </c>
    </row>
    <row r="115" spans="1:11" x14ac:dyDescent="0.3">
      <c r="A115" t="s">
        <v>120</v>
      </c>
      <c r="B115" t="s">
        <v>49</v>
      </c>
      <c r="C115">
        <v>2020</v>
      </c>
      <c r="D115" t="s">
        <v>33</v>
      </c>
      <c r="E115">
        <v>150</v>
      </c>
      <c r="F115">
        <v>3</v>
      </c>
      <c r="G115">
        <v>450</v>
      </c>
      <c r="H115" t="s">
        <v>45</v>
      </c>
      <c r="I115" t="s">
        <v>15</v>
      </c>
      <c r="J115" t="s">
        <v>19</v>
      </c>
      <c r="K115" t="s">
        <v>17</v>
      </c>
    </row>
    <row r="116" spans="1:11" x14ac:dyDescent="0.3">
      <c r="A116" t="s">
        <v>121</v>
      </c>
      <c r="B116" t="s">
        <v>49</v>
      </c>
      <c r="C116">
        <v>2020</v>
      </c>
      <c r="D116" t="s">
        <v>13</v>
      </c>
      <c r="E116">
        <v>650</v>
      </c>
      <c r="F116">
        <v>6</v>
      </c>
      <c r="G116">
        <v>3900</v>
      </c>
      <c r="H116" t="s">
        <v>45</v>
      </c>
      <c r="I116" t="s">
        <v>15</v>
      </c>
      <c r="J116" t="s">
        <v>19</v>
      </c>
      <c r="K116" t="s">
        <v>17</v>
      </c>
    </row>
    <row r="117" spans="1:11" x14ac:dyDescent="0.3">
      <c r="A117" t="s">
        <v>122</v>
      </c>
      <c r="B117" t="s">
        <v>49</v>
      </c>
      <c r="C117">
        <v>2020</v>
      </c>
      <c r="D117" t="s">
        <v>33</v>
      </c>
      <c r="E117">
        <v>150</v>
      </c>
      <c r="F117">
        <v>7</v>
      </c>
      <c r="G117">
        <v>1050</v>
      </c>
      <c r="H117" t="s">
        <v>45</v>
      </c>
      <c r="I117" t="s">
        <v>15</v>
      </c>
      <c r="J117" t="s">
        <v>16</v>
      </c>
      <c r="K117" t="s">
        <v>17</v>
      </c>
    </row>
    <row r="118" spans="1:11" x14ac:dyDescent="0.3">
      <c r="A118" t="s">
        <v>123</v>
      </c>
      <c r="B118" t="s">
        <v>49</v>
      </c>
      <c r="C118">
        <v>2020</v>
      </c>
      <c r="D118" t="s">
        <v>15</v>
      </c>
      <c r="E118">
        <v>425</v>
      </c>
      <c r="F118">
        <v>7</v>
      </c>
      <c r="G118">
        <v>2975</v>
      </c>
      <c r="H118" t="s">
        <v>50</v>
      </c>
      <c r="I118" t="s">
        <v>15</v>
      </c>
      <c r="J118" t="s">
        <v>19</v>
      </c>
      <c r="K118" t="s">
        <v>20</v>
      </c>
    </row>
    <row r="119" spans="1:11" x14ac:dyDescent="0.3">
      <c r="A119" t="s">
        <v>124</v>
      </c>
      <c r="B119" t="s">
        <v>49</v>
      </c>
      <c r="C119">
        <v>2020</v>
      </c>
      <c r="D119" t="s">
        <v>15</v>
      </c>
      <c r="E119">
        <v>425</v>
      </c>
      <c r="F119">
        <v>5</v>
      </c>
      <c r="G119">
        <v>2125</v>
      </c>
      <c r="H119" t="s">
        <v>50</v>
      </c>
      <c r="I119" t="s">
        <v>22</v>
      </c>
      <c r="J119" t="s">
        <v>19</v>
      </c>
      <c r="K119" t="s">
        <v>53</v>
      </c>
    </row>
    <row r="120" spans="1:11" x14ac:dyDescent="0.3">
      <c r="A120" t="s">
        <v>125</v>
      </c>
      <c r="B120" t="s">
        <v>60</v>
      </c>
      <c r="C120">
        <v>2020</v>
      </c>
      <c r="D120" t="s">
        <v>15</v>
      </c>
      <c r="E120">
        <v>425</v>
      </c>
      <c r="F120">
        <v>6</v>
      </c>
      <c r="G120">
        <v>2550</v>
      </c>
      <c r="H120" t="s">
        <v>50</v>
      </c>
      <c r="I120" t="s">
        <v>25</v>
      </c>
      <c r="J120" t="s">
        <v>19</v>
      </c>
      <c r="K120" t="s">
        <v>26</v>
      </c>
    </row>
    <row r="121" spans="1:11" x14ac:dyDescent="0.3">
      <c r="A121" t="s">
        <v>91</v>
      </c>
      <c r="B121" t="s">
        <v>60</v>
      </c>
      <c r="C121">
        <v>2020</v>
      </c>
      <c r="D121" t="s">
        <v>28</v>
      </c>
      <c r="E121">
        <v>300</v>
      </c>
      <c r="F121">
        <v>4</v>
      </c>
      <c r="G121">
        <v>1200</v>
      </c>
      <c r="H121" t="s">
        <v>56</v>
      </c>
      <c r="I121" t="s">
        <v>15</v>
      </c>
      <c r="J121" t="s">
        <v>16</v>
      </c>
      <c r="K121" t="s">
        <v>17</v>
      </c>
    </row>
    <row r="122" spans="1:11" x14ac:dyDescent="0.3">
      <c r="A122" t="s">
        <v>126</v>
      </c>
      <c r="B122" t="s">
        <v>60</v>
      </c>
      <c r="C122">
        <v>2020</v>
      </c>
      <c r="D122" t="s">
        <v>33</v>
      </c>
      <c r="E122">
        <v>150</v>
      </c>
      <c r="F122">
        <v>4</v>
      </c>
      <c r="G122">
        <v>600</v>
      </c>
      <c r="H122" t="s">
        <v>50</v>
      </c>
      <c r="I122" t="s">
        <v>15</v>
      </c>
      <c r="J122" t="s">
        <v>16</v>
      </c>
      <c r="K122" t="s">
        <v>26</v>
      </c>
    </row>
    <row r="123" spans="1:11" x14ac:dyDescent="0.3">
      <c r="A123" t="s">
        <v>91</v>
      </c>
      <c r="B123" t="s">
        <v>60</v>
      </c>
      <c r="C123">
        <v>2020</v>
      </c>
      <c r="D123" t="s">
        <v>28</v>
      </c>
      <c r="E123">
        <v>300</v>
      </c>
      <c r="F123">
        <v>4</v>
      </c>
      <c r="G123">
        <v>1200</v>
      </c>
      <c r="H123" t="s">
        <v>56</v>
      </c>
      <c r="I123" t="s">
        <v>15</v>
      </c>
      <c r="J123" t="s">
        <v>19</v>
      </c>
      <c r="K123" t="s">
        <v>17</v>
      </c>
    </row>
    <row r="124" spans="1:11" ht="16.2" customHeight="1" x14ac:dyDescent="0.3">
      <c r="A124" t="s">
        <v>127</v>
      </c>
      <c r="B124" t="s">
        <v>60</v>
      </c>
      <c r="C124">
        <v>2020</v>
      </c>
      <c r="D124" t="s">
        <v>15</v>
      </c>
      <c r="E124">
        <v>425</v>
      </c>
      <c r="F124">
        <v>3</v>
      </c>
      <c r="G124">
        <v>1275</v>
      </c>
      <c r="H124" t="s">
        <v>56</v>
      </c>
      <c r="I124" t="s">
        <v>15</v>
      </c>
      <c r="J124" t="s">
        <v>16</v>
      </c>
      <c r="K124" t="s">
        <v>17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E1A1-A118-4FAE-B1F9-E74B4F2F448C}">
  <sheetPr codeName="Sheet3">
    <tabColor theme="9" tint="0.39997558519241921"/>
  </sheetPr>
  <dimension ref="A2:B72"/>
  <sheetViews>
    <sheetView zoomScale="70" zoomScaleNormal="70" workbookViewId="0">
      <selection activeCell="G41" sqref="G41"/>
    </sheetView>
  </sheetViews>
  <sheetFormatPr defaultRowHeight="14.4" x14ac:dyDescent="0.3"/>
  <cols>
    <col min="1" max="1" width="14.5546875" bestFit="1" customWidth="1"/>
    <col min="2" max="2" width="10.5546875" customWidth="1"/>
    <col min="3" max="7" width="15.5546875" bestFit="1" customWidth="1"/>
    <col min="8" max="8" width="10.77734375" bestFit="1" customWidth="1"/>
  </cols>
  <sheetData>
    <row r="2" spans="1:2" ht="18" x14ac:dyDescent="0.35">
      <c r="A2" s="8" t="s">
        <v>132</v>
      </c>
      <c r="B2" s="7"/>
    </row>
    <row r="3" spans="1:2" x14ac:dyDescent="0.3">
      <c r="A3" s="2" t="s">
        <v>133</v>
      </c>
      <c r="B3" t="s">
        <v>134</v>
      </c>
    </row>
    <row r="4" spans="1:2" x14ac:dyDescent="0.3">
      <c r="A4" s="4">
        <v>2015</v>
      </c>
      <c r="B4" s="14">
        <v>41575</v>
      </c>
    </row>
    <row r="5" spans="1:2" x14ac:dyDescent="0.3">
      <c r="A5" s="5" t="s">
        <v>14</v>
      </c>
      <c r="B5" s="14">
        <v>6500</v>
      </c>
    </row>
    <row r="6" spans="1:2" x14ac:dyDescent="0.3">
      <c r="A6" s="5" t="s">
        <v>24</v>
      </c>
      <c r="B6" s="14">
        <v>4400</v>
      </c>
    </row>
    <row r="7" spans="1:2" x14ac:dyDescent="0.3">
      <c r="A7" s="5" t="s">
        <v>34</v>
      </c>
      <c r="B7" s="14">
        <v>2750</v>
      </c>
    </row>
    <row r="8" spans="1:2" x14ac:dyDescent="0.3">
      <c r="A8" s="5" t="s">
        <v>37</v>
      </c>
      <c r="B8" s="14">
        <v>2975</v>
      </c>
    </row>
    <row r="9" spans="1:2" x14ac:dyDescent="0.3">
      <c r="A9" s="5" t="s">
        <v>39</v>
      </c>
      <c r="B9" s="14">
        <v>2125</v>
      </c>
    </row>
    <row r="10" spans="1:2" x14ac:dyDescent="0.3">
      <c r="A10" s="5" t="s">
        <v>41</v>
      </c>
      <c r="B10" s="14">
        <v>600</v>
      </c>
    </row>
    <row r="11" spans="1:2" x14ac:dyDescent="0.3">
      <c r="A11" s="5" t="s">
        <v>43</v>
      </c>
      <c r="B11" s="14">
        <v>4550</v>
      </c>
    </row>
    <row r="12" spans="1:2" x14ac:dyDescent="0.3">
      <c r="A12" s="5" t="s">
        <v>45</v>
      </c>
      <c r="B12" s="14">
        <v>4850</v>
      </c>
    </row>
    <row r="13" spans="1:2" x14ac:dyDescent="0.3">
      <c r="A13" s="5" t="s">
        <v>50</v>
      </c>
      <c r="B13" s="14">
        <v>6025</v>
      </c>
    </row>
    <row r="14" spans="1:2" x14ac:dyDescent="0.3">
      <c r="A14" s="5" t="s">
        <v>56</v>
      </c>
      <c r="B14" s="14">
        <v>6800</v>
      </c>
    </row>
    <row r="15" spans="1:2" x14ac:dyDescent="0.3">
      <c r="A15" s="4">
        <v>2016</v>
      </c>
      <c r="B15" s="14">
        <v>50150</v>
      </c>
    </row>
    <row r="16" spans="1:2" x14ac:dyDescent="0.3">
      <c r="A16" s="5" t="s">
        <v>14</v>
      </c>
      <c r="B16" s="14">
        <v>7350</v>
      </c>
    </row>
    <row r="17" spans="1:2" x14ac:dyDescent="0.3">
      <c r="A17" s="5" t="s">
        <v>24</v>
      </c>
      <c r="B17" s="14">
        <v>4550</v>
      </c>
    </row>
    <row r="18" spans="1:2" x14ac:dyDescent="0.3">
      <c r="A18" s="5" t="s">
        <v>34</v>
      </c>
      <c r="B18" s="14">
        <v>2975</v>
      </c>
    </row>
    <row r="19" spans="1:2" x14ac:dyDescent="0.3">
      <c r="A19" s="5" t="s">
        <v>37</v>
      </c>
      <c r="B19" s="14">
        <v>1950</v>
      </c>
    </row>
    <row r="20" spans="1:2" x14ac:dyDescent="0.3">
      <c r="A20" s="5" t="s">
        <v>39</v>
      </c>
      <c r="B20" s="14">
        <v>5200</v>
      </c>
    </row>
    <row r="21" spans="1:2" x14ac:dyDescent="0.3">
      <c r="A21" s="5" t="s">
        <v>41</v>
      </c>
      <c r="B21" s="14">
        <v>3250</v>
      </c>
    </row>
    <row r="22" spans="1:2" x14ac:dyDescent="0.3">
      <c r="A22" s="5" t="s">
        <v>43</v>
      </c>
      <c r="B22" s="14">
        <v>1200</v>
      </c>
    </row>
    <row r="23" spans="1:2" x14ac:dyDescent="0.3">
      <c r="A23" s="5" t="s">
        <v>45</v>
      </c>
      <c r="B23" s="14">
        <v>3925</v>
      </c>
    </row>
    <row r="24" spans="1:2" x14ac:dyDescent="0.3">
      <c r="A24" s="5" t="s">
        <v>50</v>
      </c>
      <c r="B24" s="14">
        <v>9625</v>
      </c>
    </row>
    <row r="25" spans="1:2" x14ac:dyDescent="0.3">
      <c r="A25" s="5" t="s">
        <v>56</v>
      </c>
      <c r="B25" s="14">
        <v>10125</v>
      </c>
    </row>
    <row r="26" spans="1:2" x14ac:dyDescent="0.3">
      <c r="A26" s="4">
        <v>2017</v>
      </c>
      <c r="B26" s="14">
        <v>40250</v>
      </c>
    </row>
    <row r="27" spans="1:2" x14ac:dyDescent="0.3">
      <c r="A27" s="5" t="s">
        <v>14</v>
      </c>
      <c r="B27" s="14">
        <v>5400</v>
      </c>
    </row>
    <row r="28" spans="1:2" x14ac:dyDescent="0.3">
      <c r="A28" s="5" t="s">
        <v>24</v>
      </c>
      <c r="B28" s="14">
        <v>7800</v>
      </c>
    </row>
    <row r="29" spans="1:2" x14ac:dyDescent="0.3">
      <c r="A29" s="5" t="s">
        <v>34</v>
      </c>
      <c r="B29" s="14">
        <v>3000</v>
      </c>
    </row>
    <row r="30" spans="1:2" x14ac:dyDescent="0.3">
      <c r="A30" s="5" t="s">
        <v>37</v>
      </c>
      <c r="B30" s="14">
        <v>750</v>
      </c>
    </row>
    <row r="31" spans="1:2" x14ac:dyDescent="0.3">
      <c r="A31" s="5" t="s">
        <v>39</v>
      </c>
      <c r="B31" s="14">
        <v>2550</v>
      </c>
    </row>
    <row r="32" spans="1:2" x14ac:dyDescent="0.3">
      <c r="A32" s="5" t="s">
        <v>41</v>
      </c>
      <c r="B32" s="14">
        <v>2550</v>
      </c>
    </row>
    <row r="33" spans="1:2" x14ac:dyDescent="0.3">
      <c r="A33" s="5" t="s">
        <v>43</v>
      </c>
      <c r="B33" s="14">
        <v>2125</v>
      </c>
    </row>
    <row r="34" spans="1:2" x14ac:dyDescent="0.3">
      <c r="A34" s="5" t="s">
        <v>45</v>
      </c>
      <c r="B34" s="14">
        <v>4675</v>
      </c>
    </row>
    <row r="35" spans="1:2" x14ac:dyDescent="0.3">
      <c r="A35" s="5" t="s">
        <v>50</v>
      </c>
      <c r="B35" s="14">
        <v>7250</v>
      </c>
    </row>
    <row r="36" spans="1:2" x14ac:dyDescent="0.3">
      <c r="A36" s="5" t="s">
        <v>56</v>
      </c>
      <c r="B36" s="14">
        <v>4150</v>
      </c>
    </row>
    <row r="37" spans="1:2" x14ac:dyDescent="0.3">
      <c r="A37" s="4">
        <v>2018</v>
      </c>
      <c r="B37" s="14">
        <v>36075</v>
      </c>
    </row>
    <row r="38" spans="1:2" x14ac:dyDescent="0.3">
      <c r="A38" s="5" t="s">
        <v>14</v>
      </c>
      <c r="B38" s="14">
        <v>4575</v>
      </c>
    </row>
    <row r="39" spans="1:2" x14ac:dyDescent="0.3">
      <c r="A39" s="5" t="s">
        <v>24</v>
      </c>
      <c r="B39" s="14">
        <v>4325</v>
      </c>
    </row>
    <row r="40" spans="1:2" x14ac:dyDescent="0.3">
      <c r="A40" s="5" t="s">
        <v>34</v>
      </c>
      <c r="B40" s="14">
        <v>2600</v>
      </c>
    </row>
    <row r="41" spans="1:2" x14ac:dyDescent="0.3">
      <c r="A41" s="5" t="s">
        <v>37</v>
      </c>
      <c r="B41" s="14">
        <v>3250</v>
      </c>
    </row>
    <row r="42" spans="1:2" x14ac:dyDescent="0.3">
      <c r="A42" s="5" t="s">
        <v>39</v>
      </c>
      <c r="B42" s="14">
        <v>1050</v>
      </c>
    </row>
    <row r="43" spans="1:2" x14ac:dyDescent="0.3">
      <c r="A43" s="5" t="s">
        <v>41</v>
      </c>
      <c r="B43" s="14">
        <v>1275</v>
      </c>
    </row>
    <row r="44" spans="1:2" x14ac:dyDescent="0.3">
      <c r="A44" s="5" t="s">
        <v>43</v>
      </c>
      <c r="B44" s="14">
        <v>1275</v>
      </c>
    </row>
    <row r="45" spans="1:2" x14ac:dyDescent="0.3">
      <c r="A45" s="5" t="s">
        <v>45</v>
      </c>
      <c r="B45" s="14">
        <v>6700</v>
      </c>
    </row>
    <row r="46" spans="1:2" x14ac:dyDescent="0.3">
      <c r="A46" s="5" t="s">
        <v>50</v>
      </c>
      <c r="B46" s="14">
        <v>8475</v>
      </c>
    </row>
    <row r="47" spans="1:2" x14ac:dyDescent="0.3">
      <c r="A47" s="5" t="s">
        <v>56</v>
      </c>
      <c r="B47" s="14">
        <v>2550</v>
      </c>
    </row>
    <row r="48" spans="1:2" x14ac:dyDescent="0.3">
      <c r="A48" s="4">
        <v>2019</v>
      </c>
      <c r="B48" s="14">
        <v>28650</v>
      </c>
    </row>
    <row r="49" spans="1:2" x14ac:dyDescent="0.3">
      <c r="A49" s="5" t="s">
        <v>14</v>
      </c>
      <c r="B49" s="14">
        <v>2550</v>
      </c>
    </row>
    <row r="50" spans="1:2" x14ac:dyDescent="0.3">
      <c r="A50" s="5" t="s">
        <v>112</v>
      </c>
      <c r="B50" s="14">
        <v>1950</v>
      </c>
    </row>
    <row r="51" spans="1:2" x14ac:dyDescent="0.3">
      <c r="A51" s="5" t="s">
        <v>24</v>
      </c>
      <c r="B51" s="14">
        <v>2600</v>
      </c>
    </row>
    <row r="52" spans="1:2" x14ac:dyDescent="0.3">
      <c r="A52" s="5" t="s">
        <v>34</v>
      </c>
      <c r="B52" s="14">
        <v>4550</v>
      </c>
    </row>
    <row r="53" spans="1:2" x14ac:dyDescent="0.3">
      <c r="A53" s="5" t="s">
        <v>37</v>
      </c>
      <c r="B53" s="14">
        <v>1700</v>
      </c>
    </row>
    <row r="54" spans="1:2" x14ac:dyDescent="0.3">
      <c r="A54" s="5" t="s">
        <v>39</v>
      </c>
      <c r="B54" s="14">
        <v>1800</v>
      </c>
    </row>
    <row r="55" spans="1:2" x14ac:dyDescent="0.3">
      <c r="A55" s="5" t="s">
        <v>43</v>
      </c>
      <c r="B55" s="14">
        <v>600</v>
      </c>
    </row>
    <row r="56" spans="1:2" x14ac:dyDescent="0.3">
      <c r="A56" s="5" t="s">
        <v>45</v>
      </c>
      <c r="B56" s="14">
        <v>4675</v>
      </c>
    </row>
    <row r="57" spans="1:2" x14ac:dyDescent="0.3">
      <c r="A57" s="5" t="s">
        <v>50</v>
      </c>
      <c r="B57" s="14">
        <v>1275</v>
      </c>
    </row>
    <row r="58" spans="1:2" x14ac:dyDescent="0.3">
      <c r="A58" s="5" t="s">
        <v>113</v>
      </c>
      <c r="B58" s="14">
        <v>600</v>
      </c>
    </row>
    <row r="59" spans="1:2" x14ac:dyDescent="0.3">
      <c r="A59" s="5" t="s">
        <v>114</v>
      </c>
      <c r="B59" s="14">
        <v>2600</v>
      </c>
    </row>
    <row r="60" spans="1:2" x14ac:dyDescent="0.3">
      <c r="A60" s="5" t="s">
        <v>56</v>
      </c>
      <c r="B60" s="14">
        <v>3750</v>
      </c>
    </row>
    <row r="61" spans="1:2" x14ac:dyDescent="0.3">
      <c r="A61" s="4">
        <v>2020</v>
      </c>
      <c r="B61" s="14">
        <v>44650</v>
      </c>
    </row>
    <row r="62" spans="1:2" x14ac:dyDescent="0.3">
      <c r="A62" s="5" t="s">
        <v>14</v>
      </c>
      <c r="B62" s="14">
        <v>5950</v>
      </c>
    </row>
    <row r="63" spans="1:2" x14ac:dyDescent="0.3">
      <c r="A63" s="5" t="s">
        <v>24</v>
      </c>
      <c r="B63" s="14">
        <v>7225</v>
      </c>
    </row>
    <row r="64" spans="1:2" x14ac:dyDescent="0.3">
      <c r="A64" s="5" t="s">
        <v>34</v>
      </c>
      <c r="B64" s="14">
        <v>5600</v>
      </c>
    </row>
    <row r="65" spans="1:2" x14ac:dyDescent="0.3">
      <c r="A65" s="5" t="s">
        <v>37</v>
      </c>
      <c r="B65" s="14">
        <v>900</v>
      </c>
    </row>
    <row r="66" spans="1:2" x14ac:dyDescent="0.3">
      <c r="A66" s="5" t="s">
        <v>39</v>
      </c>
      <c r="B66" s="14">
        <v>2975</v>
      </c>
    </row>
    <row r="67" spans="1:2" x14ac:dyDescent="0.3">
      <c r="A67" s="5" t="s">
        <v>41</v>
      </c>
      <c r="B67" s="14">
        <v>1700</v>
      </c>
    </row>
    <row r="68" spans="1:2" x14ac:dyDescent="0.3">
      <c r="A68" s="5" t="s">
        <v>43</v>
      </c>
      <c r="B68" s="14">
        <v>2975</v>
      </c>
    </row>
    <row r="69" spans="1:2" x14ac:dyDescent="0.3">
      <c r="A69" s="5" t="s">
        <v>45</v>
      </c>
      <c r="B69" s="14">
        <v>5400</v>
      </c>
    </row>
    <row r="70" spans="1:2" x14ac:dyDescent="0.3">
      <c r="A70" s="5" t="s">
        <v>50</v>
      </c>
      <c r="B70" s="14">
        <v>8250</v>
      </c>
    </row>
    <row r="71" spans="1:2" x14ac:dyDescent="0.3">
      <c r="A71" s="5" t="s">
        <v>56</v>
      </c>
      <c r="B71" s="14">
        <v>3675</v>
      </c>
    </row>
    <row r="72" spans="1:2" x14ac:dyDescent="0.3">
      <c r="A72" s="4" t="s">
        <v>129</v>
      </c>
      <c r="B72" s="14">
        <v>241350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D39B7-6F1F-4F0E-8DCE-2B274F7C234F}">
  <sheetPr codeName="Sheet2">
    <tabColor theme="5" tint="0.39997558519241921"/>
  </sheetPr>
  <dimension ref="A2:A28"/>
  <sheetViews>
    <sheetView showGridLines="0" tabSelected="1" topLeftCell="A7" zoomScale="70" zoomScaleNormal="70" workbookViewId="0">
      <selection activeCell="AC34" sqref="AC34"/>
    </sheetView>
  </sheetViews>
  <sheetFormatPr defaultRowHeight="14.4" x14ac:dyDescent="0.3"/>
  <sheetData>
    <row r="2" ht="12.6" customHeight="1" x14ac:dyDescent="0.3"/>
    <row r="28" ht="3" customHeight="1" x14ac:dyDescent="0.3"/>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7AFD8-B8F5-4970-9D85-D82CB653B7A4}">
  <sheetPr codeName="Sheet4">
    <tabColor theme="9" tint="0.39997558519241921"/>
  </sheetPr>
  <dimension ref="A3:F10"/>
  <sheetViews>
    <sheetView zoomScale="85" zoomScaleNormal="85" workbookViewId="0">
      <selection activeCell="C3" sqref="C3"/>
    </sheetView>
  </sheetViews>
  <sheetFormatPr defaultRowHeight="14.4" x14ac:dyDescent="0.3"/>
  <cols>
    <col min="1" max="1" width="17.33203125" bestFit="1" customWidth="1"/>
    <col min="2" max="2" width="16.44140625" bestFit="1" customWidth="1"/>
    <col min="3" max="3" width="9.44140625" bestFit="1" customWidth="1"/>
    <col min="4" max="5" width="7.6640625" bestFit="1" customWidth="1"/>
    <col min="6" max="7" width="11.44140625" bestFit="1" customWidth="1"/>
  </cols>
  <sheetData>
    <row r="3" spans="1:6" x14ac:dyDescent="0.3">
      <c r="B3" s="2" t="s">
        <v>128</v>
      </c>
    </row>
    <row r="4" spans="1:6" x14ac:dyDescent="0.3">
      <c r="B4" t="s">
        <v>30</v>
      </c>
      <c r="C4" t="s">
        <v>12</v>
      </c>
      <c r="D4" t="s">
        <v>60</v>
      </c>
      <c r="E4" t="s">
        <v>49</v>
      </c>
      <c r="F4" t="s">
        <v>129</v>
      </c>
    </row>
    <row r="5" spans="1:6" x14ac:dyDescent="0.3">
      <c r="A5" t="s">
        <v>131</v>
      </c>
      <c r="B5" s="14">
        <v>93575</v>
      </c>
      <c r="C5" s="14">
        <v>52350</v>
      </c>
      <c r="D5" s="14">
        <v>21450</v>
      </c>
      <c r="E5" s="14">
        <v>73975</v>
      </c>
      <c r="F5" s="14">
        <v>241350</v>
      </c>
    </row>
    <row r="9" spans="1:6" x14ac:dyDescent="0.3">
      <c r="B9" s="3" t="s">
        <v>30</v>
      </c>
      <c r="C9" s="3" t="s">
        <v>12</v>
      </c>
      <c r="D9" s="3" t="s">
        <v>60</v>
      </c>
      <c r="E9" s="3" t="s">
        <v>49</v>
      </c>
    </row>
    <row r="10" spans="1:6" x14ac:dyDescent="0.3">
      <c r="A10" s="9" t="s">
        <v>135</v>
      </c>
      <c r="B10" s="18">
        <f>GETPIVOTDATA("Total Sales",$A$3,"Area","Arizona")</f>
        <v>93575</v>
      </c>
      <c r="C10" s="18">
        <f>GETPIVOTDATA("Total Sales",$A$3,"Area","California")</f>
        <v>52350</v>
      </c>
      <c r="D10" s="18">
        <f>GETPIVOTDATA("Total Sales",$A$3,"Area","Nevada")</f>
        <v>21450</v>
      </c>
      <c r="E10" s="18">
        <f>GETPIVOTDATA("Total Sales",$A$3,"Area","Utah")</f>
        <v>73975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7100C-D6CD-4CE5-8F04-E289148E15D1}">
  <sheetPr codeName="Sheet5">
    <tabColor theme="7" tint="0.79998168889431442"/>
  </sheetPr>
  <dimension ref="A2:G8"/>
  <sheetViews>
    <sheetView zoomScale="70" zoomScaleNormal="70" workbookViewId="0">
      <selection activeCell="B41" sqref="B41"/>
    </sheetView>
  </sheetViews>
  <sheetFormatPr defaultRowHeight="14.4" x14ac:dyDescent="0.3"/>
  <cols>
    <col min="1" max="1" width="13.88671875" bestFit="1" customWidth="1"/>
    <col min="2" max="2" width="16.77734375" bestFit="1" customWidth="1"/>
    <col min="3" max="6" width="8.21875" bestFit="1" customWidth="1"/>
    <col min="7" max="7" width="11.109375" bestFit="1" customWidth="1"/>
  </cols>
  <sheetData>
    <row r="2" spans="1:7" x14ac:dyDescent="0.3">
      <c r="A2" s="12" t="s">
        <v>134</v>
      </c>
      <c r="B2" s="12" t="s">
        <v>128</v>
      </c>
      <c r="C2" s="10"/>
      <c r="D2" s="10"/>
      <c r="E2" s="10"/>
      <c r="F2" s="10"/>
      <c r="G2" s="10"/>
    </row>
    <row r="3" spans="1:7" x14ac:dyDescent="0.3">
      <c r="A3" s="12" t="s">
        <v>130</v>
      </c>
      <c r="B3" s="10" t="s">
        <v>53</v>
      </c>
      <c r="C3" s="10" t="s">
        <v>20</v>
      </c>
      <c r="D3" s="10" t="s">
        <v>26</v>
      </c>
      <c r="E3" s="10" t="s">
        <v>31</v>
      </c>
      <c r="F3" s="10" t="s">
        <v>17</v>
      </c>
      <c r="G3" s="10" t="s">
        <v>129</v>
      </c>
    </row>
    <row r="4" spans="1:7" x14ac:dyDescent="0.3">
      <c r="A4" s="13" t="s">
        <v>15</v>
      </c>
      <c r="B4" s="14">
        <v>5950</v>
      </c>
      <c r="C4" s="14">
        <v>11475</v>
      </c>
      <c r="D4" s="14">
        <v>22100</v>
      </c>
      <c r="E4" s="14">
        <v>20825</v>
      </c>
      <c r="F4" s="14">
        <v>33150</v>
      </c>
      <c r="G4" s="14">
        <v>93500</v>
      </c>
    </row>
    <row r="5" spans="1:7" x14ac:dyDescent="0.3">
      <c r="A5" s="13" t="s">
        <v>13</v>
      </c>
      <c r="B5" s="14">
        <v>4550</v>
      </c>
      <c r="C5" s="14">
        <v>13000</v>
      </c>
      <c r="D5" s="14">
        <v>18850</v>
      </c>
      <c r="E5" s="14">
        <v>32500</v>
      </c>
      <c r="F5" s="14">
        <v>29900</v>
      </c>
      <c r="G5" s="14">
        <v>98800</v>
      </c>
    </row>
    <row r="6" spans="1:7" x14ac:dyDescent="0.3">
      <c r="A6" s="13" t="s">
        <v>28</v>
      </c>
      <c r="B6" s="14">
        <v>3450</v>
      </c>
      <c r="C6" s="14">
        <v>2700</v>
      </c>
      <c r="D6" s="14">
        <v>4500</v>
      </c>
      <c r="E6" s="14">
        <v>3600</v>
      </c>
      <c r="F6" s="14">
        <v>16800</v>
      </c>
      <c r="G6" s="14">
        <v>31050</v>
      </c>
    </row>
    <row r="7" spans="1:7" x14ac:dyDescent="0.3">
      <c r="A7" s="13" t="s">
        <v>33</v>
      </c>
      <c r="B7" s="14">
        <v>600</v>
      </c>
      <c r="C7" s="14">
        <v>1350</v>
      </c>
      <c r="D7" s="14">
        <v>4050</v>
      </c>
      <c r="E7" s="14">
        <v>5250</v>
      </c>
      <c r="F7" s="14">
        <v>6750</v>
      </c>
      <c r="G7" s="14">
        <v>18000</v>
      </c>
    </row>
    <row r="8" spans="1:7" x14ac:dyDescent="0.3">
      <c r="A8" s="13" t="s">
        <v>129</v>
      </c>
      <c r="B8" s="14">
        <v>14550</v>
      </c>
      <c r="C8" s="14">
        <v>28525</v>
      </c>
      <c r="D8" s="14">
        <v>49500</v>
      </c>
      <c r="E8" s="14">
        <v>62175</v>
      </c>
      <c r="F8" s="14">
        <v>86600</v>
      </c>
      <c r="G8" s="14">
        <v>241350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511B8-2FCA-42DF-82C2-F55131F88F56}">
  <sheetPr codeName="Sheet6">
    <tabColor theme="5" tint="0.59999389629810485"/>
  </sheetPr>
  <dimension ref="A5:L20"/>
  <sheetViews>
    <sheetView topLeftCell="A4" zoomScale="70" zoomScaleNormal="70" workbookViewId="0">
      <selection activeCell="K15" sqref="K15"/>
    </sheetView>
  </sheetViews>
  <sheetFormatPr defaultRowHeight="14.4" x14ac:dyDescent="0.3"/>
  <cols>
    <col min="1" max="1" width="13.88671875" bestFit="1" customWidth="1"/>
    <col min="2" max="2" width="18.21875" bestFit="1" customWidth="1"/>
    <col min="4" max="4" width="13.88671875" bestFit="1" customWidth="1"/>
    <col min="5" max="5" width="18.21875" bestFit="1" customWidth="1"/>
    <col min="7" max="7" width="13.88671875" bestFit="1" customWidth="1"/>
    <col min="8" max="8" width="18.21875" bestFit="1" customWidth="1"/>
    <col min="10" max="10" width="13.88671875" bestFit="1" customWidth="1"/>
    <col min="11" max="11" width="18.21875" bestFit="1" customWidth="1"/>
    <col min="19" max="19" width="13.88671875" bestFit="1" customWidth="1"/>
    <col min="20" max="20" width="16.77734375" bestFit="1" customWidth="1"/>
    <col min="22" max="22" width="13.88671875" bestFit="1" customWidth="1"/>
    <col min="23" max="23" width="16.77734375" bestFit="1" customWidth="1"/>
  </cols>
  <sheetData>
    <row r="5" spans="1:11" x14ac:dyDescent="0.3">
      <c r="C5" s="11"/>
    </row>
    <row r="14" spans="1:11" x14ac:dyDescent="0.3">
      <c r="A14" s="2" t="s">
        <v>3</v>
      </c>
      <c r="B14" t="s">
        <v>136</v>
      </c>
      <c r="D14" s="2" t="s">
        <v>3</v>
      </c>
      <c r="E14" t="s">
        <v>13</v>
      </c>
      <c r="G14" s="2" t="s">
        <v>3</v>
      </c>
      <c r="H14" t="s">
        <v>28</v>
      </c>
      <c r="J14" s="2" t="s">
        <v>3</v>
      </c>
      <c r="K14" t="s">
        <v>33</v>
      </c>
    </row>
    <row r="16" spans="1:11" x14ac:dyDescent="0.3">
      <c r="A16" s="2" t="s">
        <v>130</v>
      </c>
      <c r="B16" t="s">
        <v>137</v>
      </c>
      <c r="D16" s="2" t="s">
        <v>130</v>
      </c>
      <c r="E16" t="s">
        <v>137</v>
      </c>
      <c r="G16" s="2" t="s">
        <v>130</v>
      </c>
      <c r="H16" t="s">
        <v>137</v>
      </c>
      <c r="J16" s="2" t="s">
        <v>130</v>
      </c>
      <c r="K16" t="s">
        <v>137</v>
      </c>
    </row>
    <row r="17" spans="1:12" x14ac:dyDescent="0.3">
      <c r="A17" s="4" t="s">
        <v>16</v>
      </c>
      <c r="B17" s="6">
        <v>40</v>
      </c>
      <c r="D17" s="4" t="s">
        <v>19</v>
      </c>
      <c r="E17" s="6">
        <v>24</v>
      </c>
      <c r="G17" s="4" t="s">
        <v>19</v>
      </c>
      <c r="H17" s="6">
        <v>13</v>
      </c>
      <c r="J17" s="4" t="s">
        <v>19</v>
      </c>
      <c r="K17" s="6">
        <v>15</v>
      </c>
    </row>
    <row r="18" spans="1:12" x14ac:dyDescent="0.3">
      <c r="A18" s="4" t="s">
        <v>19</v>
      </c>
      <c r="B18" s="6">
        <v>83</v>
      </c>
      <c r="C18" s="19">
        <f>GETPIVOTDATA("Total Sales",$A$16,"Faulty","Yes")/GETPIVOTDATA("Total Sales",$A$16)</f>
        <v>0.32520325203252032</v>
      </c>
      <c r="D18" s="4" t="s">
        <v>16</v>
      </c>
      <c r="E18" s="6">
        <v>9</v>
      </c>
      <c r="F18" s="19">
        <f>GETPIVOTDATA("Total Sales",$D$16,"Faulty","Yes")/GETPIVOTDATA("Total Sales",$D$16)</f>
        <v>0.27272727272727271</v>
      </c>
      <c r="G18" s="4" t="s">
        <v>16</v>
      </c>
      <c r="H18" s="6">
        <v>10</v>
      </c>
      <c r="I18" s="19">
        <f>GETPIVOTDATA("Total Sales",$G$16,"Faulty","Yes")/GETPIVOTDATA("Total Sales",$G$16)</f>
        <v>0.43478260869565216</v>
      </c>
      <c r="J18" s="4" t="s">
        <v>16</v>
      </c>
      <c r="K18" s="6">
        <v>9</v>
      </c>
      <c r="L18" s="19">
        <f>GETPIVOTDATA("Total Sales",$J$16,"Faulty","Yes")/GETPIVOTDATA("Total Sales",$J$16)</f>
        <v>0.375</v>
      </c>
    </row>
    <row r="19" spans="1:12" x14ac:dyDescent="0.3">
      <c r="A19" s="4" t="s">
        <v>129</v>
      </c>
      <c r="B19" s="6">
        <v>123</v>
      </c>
      <c r="D19" s="4" t="s">
        <v>129</v>
      </c>
      <c r="E19" s="6">
        <v>33</v>
      </c>
      <c r="G19" s="4" t="s">
        <v>129</v>
      </c>
      <c r="H19" s="6">
        <v>23</v>
      </c>
      <c r="J19" s="4" t="s">
        <v>129</v>
      </c>
      <c r="K19" s="6">
        <v>24</v>
      </c>
    </row>
    <row r="20" spans="1:12" x14ac:dyDescent="0.3">
      <c r="F20" s="11"/>
    </row>
  </sheetData>
  <pageMargins left="0.7" right="0.7" top="0.75" bottom="0.75" header="0.3" footer="0.3"/>
  <drawing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67FF0-2B15-42E6-A51E-DB9DA5FCE048}">
  <sheetPr codeName="Sheet7">
    <tabColor theme="4" tint="0.39997558519241921"/>
  </sheetPr>
  <dimension ref="A2:E7"/>
  <sheetViews>
    <sheetView zoomScale="70" zoomScaleNormal="70" workbookViewId="0">
      <selection activeCell="C11" sqref="C11"/>
    </sheetView>
  </sheetViews>
  <sheetFormatPr defaultRowHeight="14.4" x14ac:dyDescent="0.3"/>
  <cols>
    <col min="1" max="1" width="13.88671875" bestFit="1" customWidth="1"/>
    <col min="2" max="2" width="16.77734375" bestFit="1" customWidth="1"/>
    <col min="4" max="4" width="10.77734375" bestFit="1" customWidth="1"/>
    <col min="5" max="5" width="10.88671875" customWidth="1"/>
  </cols>
  <sheetData>
    <row r="2" spans="1:5" x14ac:dyDescent="0.3">
      <c r="A2" s="2" t="s">
        <v>130</v>
      </c>
      <c r="B2" t="s">
        <v>131</v>
      </c>
    </row>
    <row r="3" spans="1:5" x14ac:dyDescent="0.3">
      <c r="A3" s="15" t="s">
        <v>22</v>
      </c>
      <c r="B3" s="14">
        <v>70400</v>
      </c>
      <c r="C3" s="14"/>
      <c r="D3" s="16" t="s">
        <v>22</v>
      </c>
      <c r="E3" s="14">
        <v>70400</v>
      </c>
    </row>
    <row r="4" spans="1:5" x14ac:dyDescent="0.3">
      <c r="A4" s="15" t="s">
        <v>15</v>
      </c>
      <c r="B4" s="14">
        <v>126575</v>
      </c>
      <c r="C4" s="14"/>
      <c r="D4" s="16" t="s">
        <v>15</v>
      </c>
      <c r="E4" s="14">
        <v>126575</v>
      </c>
    </row>
    <row r="5" spans="1:5" x14ac:dyDescent="0.3">
      <c r="A5" s="15" t="s">
        <v>25</v>
      </c>
      <c r="B5" s="14">
        <v>44375</v>
      </c>
      <c r="C5" s="14"/>
      <c r="D5" s="16" t="s">
        <v>25</v>
      </c>
      <c r="E5" s="14">
        <v>44375</v>
      </c>
    </row>
    <row r="6" spans="1:5" x14ac:dyDescent="0.3">
      <c r="A6" s="15" t="s">
        <v>129</v>
      </c>
      <c r="B6" s="14">
        <v>241350</v>
      </c>
      <c r="C6" s="14"/>
      <c r="D6" s="17" t="s">
        <v>129</v>
      </c>
      <c r="E6" s="18">
        <v>241350</v>
      </c>
    </row>
    <row r="7" spans="1:5" x14ac:dyDescent="0.3">
      <c r="C7" s="14"/>
      <c r="D7" s="14"/>
      <c r="E7" s="14"/>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9DB9-BF7E-426D-ACCE-6BC13C2CA403}">
  <sheetPr codeName="Sheet8">
    <tabColor theme="6" tint="0.39997558519241921"/>
  </sheetPr>
  <dimension ref="A4:E92"/>
  <sheetViews>
    <sheetView zoomScale="55" zoomScaleNormal="55" workbookViewId="0">
      <selection activeCell="I53" sqref="I53"/>
    </sheetView>
  </sheetViews>
  <sheetFormatPr defaultRowHeight="14.4" x14ac:dyDescent="0.3"/>
  <cols>
    <col min="1" max="1" width="14.88671875" bestFit="1" customWidth="1"/>
    <col min="2" max="2" width="22.88671875" bestFit="1" customWidth="1"/>
    <col min="4" max="4" width="9.44140625" bestFit="1" customWidth="1"/>
    <col min="5" max="5" width="8.77734375" customWidth="1"/>
  </cols>
  <sheetData>
    <row r="4" spans="1:5" x14ac:dyDescent="0.3">
      <c r="A4" s="2" t="s">
        <v>138</v>
      </c>
      <c r="B4" t="s">
        <v>131</v>
      </c>
    </row>
    <row r="5" spans="1:5" x14ac:dyDescent="0.3">
      <c r="A5" s="4" t="s">
        <v>32</v>
      </c>
      <c r="B5" s="14">
        <v>13375</v>
      </c>
      <c r="D5" t="str">
        <f>A5</f>
        <v>Nicholas</v>
      </c>
      <c r="E5" s="14">
        <f>IFERROR(GETPIVOTDATA("Total Sales",$A$4,"FirstName", D5)," ")</f>
        <v>13375</v>
      </c>
    </row>
    <row r="6" spans="1:5" x14ac:dyDescent="0.3">
      <c r="A6" s="4" t="s">
        <v>18</v>
      </c>
      <c r="B6" s="14">
        <v>9725</v>
      </c>
    </row>
    <row r="7" spans="1:5" x14ac:dyDescent="0.3">
      <c r="A7" s="4" t="s">
        <v>85</v>
      </c>
      <c r="B7" s="14">
        <v>7075</v>
      </c>
    </row>
    <row r="8" spans="1:5" x14ac:dyDescent="0.3">
      <c r="A8" s="4" t="s">
        <v>81</v>
      </c>
      <c r="B8" s="14">
        <v>6500</v>
      </c>
    </row>
    <row r="9" spans="1:5" x14ac:dyDescent="0.3">
      <c r="A9" s="4" t="s">
        <v>36</v>
      </c>
      <c r="B9" s="14">
        <v>6225</v>
      </c>
    </row>
    <row r="10" spans="1:5" x14ac:dyDescent="0.3">
      <c r="A10" s="4" t="s">
        <v>91</v>
      </c>
      <c r="B10" s="14">
        <v>5725</v>
      </c>
    </row>
    <row r="11" spans="1:5" x14ac:dyDescent="0.3">
      <c r="A11" s="4" t="s">
        <v>68</v>
      </c>
      <c r="B11" s="14">
        <v>5200</v>
      </c>
    </row>
    <row r="12" spans="1:5" x14ac:dyDescent="0.3">
      <c r="A12" s="4" t="s">
        <v>82</v>
      </c>
      <c r="B12" s="14">
        <v>4950</v>
      </c>
    </row>
    <row r="13" spans="1:5" x14ac:dyDescent="0.3">
      <c r="A13" s="4" t="s">
        <v>54</v>
      </c>
      <c r="B13" s="14">
        <v>4750</v>
      </c>
    </row>
    <row r="14" spans="1:5" x14ac:dyDescent="0.3">
      <c r="A14" s="4" t="s">
        <v>117</v>
      </c>
      <c r="B14" s="14">
        <v>4550</v>
      </c>
    </row>
    <row r="15" spans="1:5" x14ac:dyDescent="0.3">
      <c r="A15" s="4" t="s">
        <v>42</v>
      </c>
      <c r="B15" s="14">
        <v>4550</v>
      </c>
    </row>
    <row r="16" spans="1:5" x14ac:dyDescent="0.3">
      <c r="A16" s="4" t="s">
        <v>77</v>
      </c>
      <c r="B16" s="14">
        <v>4550</v>
      </c>
    </row>
    <row r="17" spans="1:2" x14ac:dyDescent="0.3">
      <c r="A17" s="4" t="s">
        <v>90</v>
      </c>
      <c r="B17" s="14">
        <v>4500</v>
      </c>
    </row>
    <row r="18" spans="1:2" x14ac:dyDescent="0.3">
      <c r="A18" s="4" t="s">
        <v>83</v>
      </c>
      <c r="B18" s="14">
        <v>4400</v>
      </c>
    </row>
    <row r="19" spans="1:2" x14ac:dyDescent="0.3">
      <c r="A19" s="4" t="s">
        <v>87</v>
      </c>
      <c r="B19" s="14">
        <v>4250</v>
      </c>
    </row>
    <row r="20" spans="1:2" x14ac:dyDescent="0.3">
      <c r="A20" s="4" t="s">
        <v>58</v>
      </c>
      <c r="B20" s="14">
        <v>4175</v>
      </c>
    </row>
    <row r="21" spans="1:2" x14ac:dyDescent="0.3">
      <c r="A21" s="4" t="s">
        <v>55</v>
      </c>
      <c r="B21" s="14">
        <v>3900</v>
      </c>
    </row>
    <row r="22" spans="1:2" x14ac:dyDescent="0.3">
      <c r="A22" s="4" t="s">
        <v>121</v>
      </c>
      <c r="B22" s="14">
        <v>3900</v>
      </c>
    </row>
    <row r="23" spans="1:2" x14ac:dyDescent="0.3">
      <c r="A23" s="4" t="s">
        <v>74</v>
      </c>
      <c r="B23" s="14">
        <v>3900</v>
      </c>
    </row>
    <row r="24" spans="1:2" x14ac:dyDescent="0.3">
      <c r="A24" s="4" t="s">
        <v>88</v>
      </c>
      <c r="B24" s="14">
        <v>3825</v>
      </c>
    </row>
    <row r="25" spans="1:2" x14ac:dyDescent="0.3">
      <c r="A25" s="4" t="s">
        <v>86</v>
      </c>
      <c r="B25" s="14">
        <v>3725</v>
      </c>
    </row>
    <row r="26" spans="1:2" x14ac:dyDescent="0.3">
      <c r="A26" s="4" t="s">
        <v>94</v>
      </c>
      <c r="B26" s="14">
        <v>3450</v>
      </c>
    </row>
    <row r="27" spans="1:2" x14ac:dyDescent="0.3">
      <c r="A27" s="4" t="s">
        <v>79</v>
      </c>
      <c r="B27" s="14">
        <v>3450</v>
      </c>
    </row>
    <row r="28" spans="1:2" x14ac:dyDescent="0.3">
      <c r="A28" s="4" t="s">
        <v>93</v>
      </c>
      <c r="B28" s="14">
        <v>3300</v>
      </c>
    </row>
    <row r="29" spans="1:2" x14ac:dyDescent="0.3">
      <c r="A29" s="4" t="s">
        <v>109</v>
      </c>
      <c r="B29" s="14">
        <v>3250</v>
      </c>
    </row>
    <row r="30" spans="1:2" x14ac:dyDescent="0.3">
      <c r="A30" s="4" t="s">
        <v>59</v>
      </c>
      <c r="B30" s="14">
        <v>3250</v>
      </c>
    </row>
    <row r="31" spans="1:2" x14ac:dyDescent="0.3">
      <c r="A31" s="4" t="s">
        <v>107</v>
      </c>
      <c r="B31" s="14">
        <v>3250</v>
      </c>
    </row>
    <row r="32" spans="1:2" x14ac:dyDescent="0.3">
      <c r="A32" s="4" t="s">
        <v>61</v>
      </c>
      <c r="B32" s="14">
        <v>3250</v>
      </c>
    </row>
    <row r="33" spans="1:2" x14ac:dyDescent="0.3">
      <c r="A33" s="4" t="s">
        <v>89</v>
      </c>
      <c r="B33" s="14">
        <v>3200</v>
      </c>
    </row>
    <row r="34" spans="1:2" x14ac:dyDescent="0.3">
      <c r="A34" s="4" t="s">
        <v>84</v>
      </c>
      <c r="B34" s="14">
        <v>3150</v>
      </c>
    </row>
    <row r="35" spans="1:2" x14ac:dyDescent="0.3">
      <c r="A35" s="4" t="s">
        <v>67</v>
      </c>
      <c r="B35" s="14">
        <v>3150</v>
      </c>
    </row>
    <row r="36" spans="1:2" x14ac:dyDescent="0.3">
      <c r="A36" s="4" t="s">
        <v>72</v>
      </c>
      <c r="B36" s="14">
        <v>2975</v>
      </c>
    </row>
    <row r="37" spans="1:2" x14ac:dyDescent="0.3">
      <c r="A37" s="4" t="s">
        <v>123</v>
      </c>
      <c r="B37" s="14">
        <v>2975</v>
      </c>
    </row>
    <row r="38" spans="1:2" x14ac:dyDescent="0.3">
      <c r="A38" s="4" t="s">
        <v>119</v>
      </c>
      <c r="B38" s="14">
        <v>2975</v>
      </c>
    </row>
    <row r="39" spans="1:2" x14ac:dyDescent="0.3">
      <c r="A39" s="4" t="s">
        <v>92</v>
      </c>
      <c r="B39" s="14">
        <v>2850</v>
      </c>
    </row>
    <row r="40" spans="1:2" x14ac:dyDescent="0.3">
      <c r="A40" s="4" t="s">
        <v>21</v>
      </c>
      <c r="B40" s="14">
        <v>2600</v>
      </c>
    </row>
    <row r="41" spans="1:2" x14ac:dyDescent="0.3">
      <c r="A41" s="4" t="s">
        <v>62</v>
      </c>
      <c r="B41" s="14">
        <v>2600</v>
      </c>
    </row>
    <row r="42" spans="1:2" x14ac:dyDescent="0.3">
      <c r="A42" s="4" t="s">
        <v>99</v>
      </c>
      <c r="B42" s="14">
        <v>2600</v>
      </c>
    </row>
    <row r="43" spans="1:2" x14ac:dyDescent="0.3">
      <c r="A43" s="4" t="s">
        <v>23</v>
      </c>
      <c r="B43" s="14">
        <v>2600</v>
      </c>
    </row>
    <row r="44" spans="1:2" x14ac:dyDescent="0.3">
      <c r="A44" s="4" t="s">
        <v>125</v>
      </c>
      <c r="B44" s="14">
        <v>2550</v>
      </c>
    </row>
    <row r="45" spans="1:2" x14ac:dyDescent="0.3">
      <c r="A45" s="4" t="s">
        <v>111</v>
      </c>
      <c r="B45" s="14">
        <v>2550</v>
      </c>
    </row>
    <row r="46" spans="1:2" x14ac:dyDescent="0.3">
      <c r="A46" s="4" t="s">
        <v>11</v>
      </c>
      <c r="B46" s="14">
        <v>2550</v>
      </c>
    </row>
    <row r="47" spans="1:2" x14ac:dyDescent="0.3">
      <c r="A47" s="4" t="s">
        <v>105</v>
      </c>
      <c r="B47" s="14">
        <v>2550</v>
      </c>
    </row>
    <row r="48" spans="1:2" x14ac:dyDescent="0.3">
      <c r="A48" s="4" t="s">
        <v>75</v>
      </c>
      <c r="B48" s="14">
        <v>2550</v>
      </c>
    </row>
    <row r="49" spans="1:2" x14ac:dyDescent="0.3">
      <c r="A49" s="4" t="s">
        <v>80</v>
      </c>
      <c r="B49" s="14">
        <v>2300</v>
      </c>
    </row>
    <row r="50" spans="1:2" x14ac:dyDescent="0.3">
      <c r="A50" s="4" t="s">
        <v>70</v>
      </c>
      <c r="B50" s="14">
        <v>2125</v>
      </c>
    </row>
    <row r="51" spans="1:2" x14ac:dyDescent="0.3">
      <c r="A51" s="4" t="s">
        <v>115</v>
      </c>
      <c r="B51" s="14">
        <v>2125</v>
      </c>
    </row>
    <row r="52" spans="1:2" x14ac:dyDescent="0.3">
      <c r="A52" s="4" t="s">
        <v>48</v>
      </c>
      <c r="B52" s="14">
        <v>2125</v>
      </c>
    </row>
    <row r="53" spans="1:2" x14ac:dyDescent="0.3">
      <c r="A53" s="4" t="s">
        <v>124</v>
      </c>
      <c r="B53" s="14">
        <v>2125</v>
      </c>
    </row>
    <row r="54" spans="1:2" x14ac:dyDescent="0.3">
      <c r="A54" s="4" t="s">
        <v>78</v>
      </c>
      <c r="B54" s="14">
        <v>2125</v>
      </c>
    </row>
    <row r="55" spans="1:2" x14ac:dyDescent="0.3">
      <c r="A55" s="4" t="s">
        <v>96</v>
      </c>
      <c r="B55" s="14">
        <v>2125</v>
      </c>
    </row>
    <row r="56" spans="1:2" x14ac:dyDescent="0.3">
      <c r="A56" s="4" t="s">
        <v>38</v>
      </c>
      <c r="B56" s="14">
        <v>2125</v>
      </c>
    </row>
    <row r="57" spans="1:2" x14ac:dyDescent="0.3">
      <c r="A57" s="4" t="s">
        <v>64</v>
      </c>
      <c r="B57" s="14">
        <v>2100</v>
      </c>
    </row>
    <row r="58" spans="1:2" x14ac:dyDescent="0.3">
      <c r="A58" s="4" t="s">
        <v>47</v>
      </c>
      <c r="B58" s="14">
        <v>1950</v>
      </c>
    </row>
    <row r="59" spans="1:2" x14ac:dyDescent="0.3">
      <c r="A59" s="4" t="s">
        <v>51</v>
      </c>
      <c r="B59" s="14">
        <v>1800</v>
      </c>
    </row>
    <row r="60" spans="1:2" x14ac:dyDescent="0.3">
      <c r="A60" s="4" t="s">
        <v>108</v>
      </c>
      <c r="B60" s="14">
        <v>1800</v>
      </c>
    </row>
    <row r="61" spans="1:2" x14ac:dyDescent="0.3">
      <c r="A61" s="4" t="s">
        <v>57</v>
      </c>
      <c r="B61" s="14">
        <v>1700</v>
      </c>
    </row>
    <row r="62" spans="1:2" x14ac:dyDescent="0.3">
      <c r="A62" s="4" t="s">
        <v>66</v>
      </c>
      <c r="B62" s="14">
        <v>1700</v>
      </c>
    </row>
    <row r="63" spans="1:2" x14ac:dyDescent="0.3">
      <c r="A63" s="4" t="s">
        <v>35</v>
      </c>
      <c r="B63" s="14">
        <v>1700</v>
      </c>
    </row>
    <row r="64" spans="1:2" x14ac:dyDescent="0.3">
      <c r="A64" s="4" t="s">
        <v>71</v>
      </c>
      <c r="B64" s="14">
        <v>1700</v>
      </c>
    </row>
    <row r="65" spans="1:2" x14ac:dyDescent="0.3">
      <c r="A65" s="4" t="s">
        <v>44</v>
      </c>
      <c r="B65" s="14">
        <v>1700</v>
      </c>
    </row>
    <row r="66" spans="1:2" x14ac:dyDescent="0.3">
      <c r="A66" s="4" t="s">
        <v>100</v>
      </c>
      <c r="B66" s="14">
        <v>1700</v>
      </c>
    </row>
    <row r="67" spans="1:2" x14ac:dyDescent="0.3">
      <c r="A67" s="4" t="s">
        <v>118</v>
      </c>
      <c r="B67" s="14">
        <v>1700</v>
      </c>
    </row>
    <row r="68" spans="1:2" x14ac:dyDescent="0.3">
      <c r="A68" s="4" t="s">
        <v>63</v>
      </c>
      <c r="B68" s="14">
        <v>1500</v>
      </c>
    </row>
    <row r="69" spans="1:2" x14ac:dyDescent="0.3">
      <c r="A69" s="4" t="s">
        <v>52</v>
      </c>
      <c r="B69" s="14">
        <v>1500</v>
      </c>
    </row>
    <row r="70" spans="1:2" x14ac:dyDescent="0.3">
      <c r="A70" s="4" t="s">
        <v>103</v>
      </c>
      <c r="B70" s="14">
        <v>1275</v>
      </c>
    </row>
    <row r="71" spans="1:2" x14ac:dyDescent="0.3">
      <c r="A71" s="4" t="s">
        <v>104</v>
      </c>
      <c r="B71" s="14">
        <v>1275</v>
      </c>
    </row>
    <row r="72" spans="1:2" x14ac:dyDescent="0.3">
      <c r="A72" s="4" t="s">
        <v>97</v>
      </c>
      <c r="B72" s="14">
        <v>1275</v>
      </c>
    </row>
    <row r="73" spans="1:2" x14ac:dyDescent="0.3">
      <c r="A73" s="4" t="s">
        <v>127</v>
      </c>
      <c r="B73" s="14">
        <v>1275</v>
      </c>
    </row>
    <row r="74" spans="1:2" x14ac:dyDescent="0.3">
      <c r="A74" s="4" t="s">
        <v>46</v>
      </c>
      <c r="B74" s="14">
        <v>1200</v>
      </c>
    </row>
    <row r="75" spans="1:2" x14ac:dyDescent="0.3">
      <c r="A75" s="4" t="s">
        <v>69</v>
      </c>
      <c r="B75" s="14">
        <v>1200</v>
      </c>
    </row>
    <row r="76" spans="1:2" x14ac:dyDescent="0.3">
      <c r="A76" s="4" t="s">
        <v>102</v>
      </c>
      <c r="B76" s="14">
        <v>1050</v>
      </c>
    </row>
    <row r="77" spans="1:2" x14ac:dyDescent="0.3">
      <c r="A77" s="4" t="s">
        <v>122</v>
      </c>
      <c r="B77" s="14">
        <v>1050</v>
      </c>
    </row>
    <row r="78" spans="1:2" x14ac:dyDescent="0.3">
      <c r="A78" s="4" t="s">
        <v>116</v>
      </c>
      <c r="B78" s="14">
        <v>1050</v>
      </c>
    </row>
    <row r="79" spans="1:2" x14ac:dyDescent="0.3">
      <c r="A79" s="4" t="s">
        <v>73</v>
      </c>
      <c r="B79" s="14">
        <v>1050</v>
      </c>
    </row>
    <row r="80" spans="1:2" x14ac:dyDescent="0.3">
      <c r="A80" s="4" t="s">
        <v>29</v>
      </c>
      <c r="B80" s="14">
        <v>900</v>
      </c>
    </row>
    <row r="81" spans="1:2" x14ac:dyDescent="0.3">
      <c r="A81" s="4" t="s">
        <v>76</v>
      </c>
      <c r="B81" s="14">
        <v>900</v>
      </c>
    </row>
    <row r="82" spans="1:2" x14ac:dyDescent="0.3">
      <c r="A82" s="4" t="s">
        <v>27</v>
      </c>
      <c r="B82" s="14">
        <v>900</v>
      </c>
    </row>
    <row r="83" spans="1:2" x14ac:dyDescent="0.3">
      <c r="A83" s="4" t="s">
        <v>101</v>
      </c>
      <c r="B83" s="14">
        <v>900</v>
      </c>
    </row>
    <row r="84" spans="1:2" x14ac:dyDescent="0.3">
      <c r="A84" s="4" t="s">
        <v>106</v>
      </c>
      <c r="B84" s="14">
        <v>900</v>
      </c>
    </row>
    <row r="85" spans="1:2" x14ac:dyDescent="0.3">
      <c r="A85" s="4" t="s">
        <v>95</v>
      </c>
      <c r="B85" s="14">
        <v>750</v>
      </c>
    </row>
    <row r="86" spans="1:2" x14ac:dyDescent="0.3">
      <c r="A86" s="4" t="s">
        <v>65</v>
      </c>
      <c r="B86" s="14">
        <v>750</v>
      </c>
    </row>
    <row r="87" spans="1:2" x14ac:dyDescent="0.3">
      <c r="A87" s="4" t="s">
        <v>126</v>
      </c>
      <c r="B87" s="14">
        <v>600</v>
      </c>
    </row>
    <row r="88" spans="1:2" x14ac:dyDescent="0.3">
      <c r="A88" s="4" t="s">
        <v>40</v>
      </c>
      <c r="B88" s="14">
        <v>600</v>
      </c>
    </row>
    <row r="89" spans="1:2" x14ac:dyDescent="0.3">
      <c r="A89" s="4" t="s">
        <v>98</v>
      </c>
      <c r="B89" s="14">
        <v>450</v>
      </c>
    </row>
    <row r="90" spans="1:2" x14ac:dyDescent="0.3">
      <c r="A90" s="4" t="s">
        <v>110</v>
      </c>
      <c r="B90" s="14">
        <v>450</v>
      </c>
    </row>
    <row r="91" spans="1:2" x14ac:dyDescent="0.3">
      <c r="A91" s="4" t="s">
        <v>120</v>
      </c>
      <c r="B91" s="14">
        <v>450</v>
      </c>
    </row>
    <row r="92" spans="1:2" x14ac:dyDescent="0.3">
      <c r="A92" s="4" t="s">
        <v>129</v>
      </c>
      <c r="B92" s="6">
        <v>241350</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Business Problem</vt:lpstr>
      <vt:lpstr>Sales Data</vt:lpstr>
      <vt:lpstr>Total Sales Trend </vt:lpstr>
      <vt:lpstr>Dashboard</vt:lpstr>
      <vt:lpstr>Total Sales Area</vt:lpstr>
      <vt:lpstr>Product Ratings</vt:lpstr>
      <vt:lpstr>Faulty Products</vt:lpstr>
      <vt:lpstr>Channel Waterfall Chart</vt:lpstr>
      <vt:lpstr>Top Sales Emp</vt:lpstr>
      <vt:lpstr>SalesTable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jihad nasser</dc:creator>
  <cp:lastModifiedBy>jihad nasser</cp:lastModifiedBy>
  <dcterms:created xsi:type="dcterms:W3CDTF">2020-10-25T12:37:57Z</dcterms:created>
  <dcterms:modified xsi:type="dcterms:W3CDTF">2022-04-17T00:43:13Z</dcterms:modified>
</cp:coreProperties>
</file>