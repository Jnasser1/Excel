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filterPrivacy="1" codeName="ThisWorkbook" defaultThemeVersion="124226"/>
  <xr:revisionPtr revIDLastSave="0" documentId="8_{E051EE74-34F0-44C8-A336-2D3AD7EBDC4C}" xr6:coauthVersionLast="47" xr6:coauthVersionMax="47" xr10:uidLastSave="{00000000-0000-0000-0000-000000000000}"/>
  <bookViews>
    <workbookView xWindow="11820" yWindow="105" windowWidth="17085" windowHeight="15480" firstSheet="1" activeTab="1" xr2:uid="{00000000-000D-0000-FFFF-FFFF00000000}"/>
  </bookViews>
  <sheets>
    <sheet name="Index --&gt;" sheetId="6" r:id="rId1"/>
    <sheet name="Index" sheetId="7" r:id="rId2"/>
    <sheet name="1.1 FY2016" sheetId="1" r:id="rId3"/>
    <sheet name="1.2 FY2017" sheetId="2" r:id="rId4"/>
    <sheet name="1.3 FY2018" sheetId="3" r:id="rId5"/>
    <sheet name="2.1 Database" sheetId="10" r:id="rId6"/>
    <sheet name="2.2 P&amp;L statement" sheetId="21" r:id="rId7"/>
  </sheets>
  <definedNames>
    <definedName name="_xlnm._FilterDatabase" localSheetId="2" hidden="1">'1.1 FY2016'!$B$4:$F$61</definedName>
    <definedName name="_xlnm._FilterDatabase" localSheetId="3" hidden="1">'1.2 FY2017'!$B$4:$F$86</definedName>
    <definedName name="_xlnm._FilterDatabase" localSheetId="4" hidden="1">'1.3 FY2018'!$B$4:$F$78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9" i="21" l="1"/>
  <c r="D29" i="21"/>
  <c r="C28" i="21"/>
  <c r="D28" i="21"/>
  <c r="B29" i="21"/>
  <c r="B28" i="21"/>
  <c r="C27" i="21"/>
  <c r="D27" i="21"/>
  <c r="B27" i="21"/>
  <c r="E22" i="21"/>
  <c r="F22" i="21"/>
  <c r="E4" i="21"/>
  <c r="F4" i="21"/>
  <c r="E5" i="21"/>
  <c r="F5" i="21"/>
  <c r="E6" i="21"/>
  <c r="F6" i="21"/>
  <c r="E7" i="21"/>
  <c r="F7" i="21"/>
  <c r="E8" i="21"/>
  <c r="F8" i="21"/>
  <c r="E9" i="21"/>
  <c r="F9" i="21"/>
  <c r="E10" i="21"/>
  <c r="F10" i="21"/>
  <c r="E11" i="21"/>
  <c r="F11" i="21"/>
  <c r="E12" i="21"/>
  <c r="F12" i="21"/>
  <c r="E13" i="21"/>
  <c r="F13" i="21"/>
  <c r="E14" i="21"/>
  <c r="F14" i="21"/>
  <c r="E15" i="21"/>
  <c r="F15" i="21"/>
  <c r="E16" i="21"/>
  <c r="F16" i="21"/>
  <c r="E17" i="21"/>
  <c r="F17" i="21"/>
  <c r="E18" i="21"/>
  <c r="F18" i="21"/>
  <c r="E19" i="21"/>
  <c r="F19" i="21"/>
  <c r="E20" i="21"/>
  <c r="F20" i="21"/>
  <c r="E21" i="21"/>
  <c r="F21" i="21"/>
  <c r="F3" i="21"/>
  <c r="E3" i="21"/>
  <c r="D21" i="21" l="1"/>
  <c r="C21" i="21"/>
  <c r="B21" i="21"/>
  <c r="D19" i="21"/>
  <c r="C19" i="21"/>
  <c r="B19" i="21"/>
  <c r="D18" i="21"/>
  <c r="C18" i="21"/>
  <c r="B18" i="21"/>
  <c r="D16" i="21"/>
  <c r="C16" i="21"/>
  <c r="B16" i="21"/>
  <c r="D14" i="21"/>
  <c r="C14" i="21"/>
  <c r="B14" i="21"/>
  <c r="D13" i="21"/>
  <c r="C13" i="21"/>
  <c r="B13" i="21"/>
  <c r="D12" i="21"/>
  <c r="C12" i="21"/>
  <c r="B12" i="21"/>
  <c r="D11" i="21"/>
  <c r="C11" i="21"/>
  <c r="B11" i="21"/>
  <c r="D10" i="21"/>
  <c r="C10" i="21"/>
  <c r="B10" i="21"/>
  <c r="D9" i="21"/>
  <c r="C9" i="21"/>
  <c r="B9" i="21"/>
  <c r="D7" i="21"/>
  <c r="C7" i="21"/>
  <c r="B7" i="21"/>
  <c r="B4" i="21"/>
  <c r="C4" i="21"/>
  <c r="C6" i="21" s="1"/>
  <c r="C8" i="21" s="1"/>
  <c r="C15" i="21" s="1"/>
  <c r="C17" i="21" s="1"/>
  <c r="C20" i="21" s="1"/>
  <c r="C22" i="21" s="1"/>
  <c r="D4" i="21"/>
  <c r="B5" i="21"/>
  <c r="C5" i="21"/>
  <c r="D5" i="21"/>
  <c r="C3" i="21"/>
  <c r="D3" i="21"/>
  <c r="D6" i="21" s="1"/>
  <c r="D8" i="21" s="1"/>
  <c r="D15" i="21" s="1"/>
  <c r="D17" i="21" s="1"/>
  <c r="D20" i="21" s="1"/>
  <c r="D22" i="21" s="1"/>
  <c r="B3" i="21"/>
  <c r="B6" i="21" s="1"/>
  <c r="B8" i="21" s="1"/>
  <c r="B15" i="21" l="1"/>
  <c r="B17" i="21" s="1"/>
  <c r="B20" i="21" s="1"/>
  <c r="B22" i="21" s="1"/>
  <c r="B93" i="10"/>
  <c r="C93" i="10"/>
  <c r="D93" i="10"/>
  <c r="C92" i="10"/>
  <c r="D92" i="10"/>
  <c r="B92" i="10"/>
  <c r="B85" i="10"/>
  <c r="C85" i="10"/>
  <c r="D85" i="10"/>
  <c r="C84" i="10"/>
  <c r="D84" i="10"/>
  <c r="B84" i="10"/>
  <c r="B81" i="10"/>
  <c r="C81" i="10"/>
  <c r="D81" i="10"/>
  <c r="B82" i="10"/>
  <c r="C82" i="10"/>
  <c r="D82" i="10"/>
  <c r="C80" i="10"/>
  <c r="D80" i="10"/>
  <c r="B80" i="10"/>
  <c r="C78" i="10"/>
  <c r="D78" i="10"/>
  <c r="B78" i="10"/>
  <c r="B74" i="10"/>
  <c r="C74" i="10"/>
  <c r="D74" i="10"/>
  <c r="C73" i="10"/>
  <c r="D73" i="10"/>
  <c r="B73" i="10"/>
  <c r="B70" i="10"/>
  <c r="C70" i="10"/>
  <c r="D70" i="10"/>
  <c r="B71" i="10"/>
  <c r="C71" i="10"/>
  <c r="D71" i="10"/>
  <c r="C69" i="10"/>
  <c r="D69" i="10"/>
  <c r="B69" i="10"/>
  <c r="C66" i="10"/>
  <c r="D66" i="10"/>
  <c r="B66" i="10"/>
  <c r="B65" i="10"/>
  <c r="C65" i="10"/>
  <c r="D65" i="10"/>
  <c r="B67" i="10"/>
  <c r="C67" i="10"/>
  <c r="D67" i="10"/>
  <c r="B68" i="10"/>
  <c r="C68" i="10"/>
  <c r="D68" i="10"/>
  <c r="B72" i="10"/>
  <c r="C72" i="10"/>
  <c r="D72" i="10"/>
  <c r="B75" i="10"/>
  <c r="C75" i="10"/>
  <c r="D75" i="10"/>
  <c r="B76" i="10"/>
  <c r="C76" i="10"/>
  <c r="D76" i="10"/>
  <c r="B77" i="10"/>
  <c r="C77" i="10"/>
  <c r="D77" i="10"/>
  <c r="B79" i="10"/>
  <c r="C79" i="10"/>
  <c r="D79" i="10"/>
  <c r="B83" i="10"/>
  <c r="C83" i="10"/>
  <c r="D83" i="10"/>
  <c r="B86" i="10"/>
  <c r="C86" i="10"/>
  <c r="D86" i="10"/>
  <c r="B87" i="10"/>
  <c r="C87" i="10"/>
  <c r="D87" i="10"/>
  <c r="B88" i="10"/>
  <c r="C88" i="10"/>
  <c r="D88" i="10"/>
  <c r="B89" i="10"/>
  <c r="C89" i="10"/>
  <c r="D89" i="10"/>
  <c r="B90" i="10"/>
  <c r="C90" i="10"/>
  <c r="D90" i="10"/>
  <c r="B91" i="10"/>
  <c r="C91" i="10"/>
  <c r="D91" i="10"/>
  <c r="B94" i="10"/>
  <c r="C94" i="10"/>
  <c r="D94" i="10"/>
  <c r="C64" i="10"/>
  <c r="D64" i="10"/>
  <c r="B64" i="10"/>
  <c r="B8" i="10"/>
  <c r="C8" i="10"/>
  <c r="D8" i="10"/>
  <c r="B9" i="10"/>
  <c r="C9" i="10"/>
  <c r="D9" i="10"/>
  <c r="B10" i="10"/>
  <c r="C10" i="10"/>
  <c r="D10" i="10"/>
  <c r="B11" i="10"/>
  <c r="C11" i="10"/>
  <c r="D11" i="10"/>
  <c r="B12" i="10"/>
  <c r="C12" i="10"/>
  <c r="D12" i="10"/>
  <c r="B13" i="10"/>
  <c r="C13" i="10"/>
  <c r="D13" i="10"/>
  <c r="B14" i="10"/>
  <c r="C14" i="10"/>
  <c r="D14" i="10"/>
  <c r="B15" i="10"/>
  <c r="C15" i="10"/>
  <c r="D15" i="10"/>
  <c r="B16" i="10"/>
  <c r="C16" i="10"/>
  <c r="D16" i="10"/>
  <c r="B17" i="10"/>
  <c r="C17" i="10"/>
  <c r="D17" i="10"/>
  <c r="B18" i="10"/>
  <c r="C18" i="10"/>
  <c r="D18" i="10"/>
  <c r="B19" i="10"/>
  <c r="C19" i="10"/>
  <c r="D19" i="10"/>
  <c r="B20" i="10"/>
  <c r="C20" i="10"/>
  <c r="D20" i="10"/>
  <c r="B21" i="10"/>
  <c r="C21" i="10"/>
  <c r="D21" i="10"/>
  <c r="B22" i="10"/>
  <c r="C22" i="10"/>
  <c r="D22" i="10"/>
  <c r="B23" i="10"/>
  <c r="C23" i="10"/>
  <c r="D23" i="10"/>
  <c r="B24" i="10"/>
  <c r="C24" i="10"/>
  <c r="D24" i="10"/>
  <c r="B25" i="10"/>
  <c r="C25" i="10"/>
  <c r="D25" i="10"/>
  <c r="B26" i="10"/>
  <c r="C26" i="10"/>
  <c r="D26" i="10"/>
  <c r="B27" i="10"/>
  <c r="C27" i="10"/>
  <c r="D27" i="10"/>
  <c r="B28" i="10"/>
  <c r="C28" i="10"/>
  <c r="D28" i="10"/>
  <c r="B29" i="10"/>
  <c r="C29" i="10"/>
  <c r="D29" i="10"/>
  <c r="B30" i="10"/>
  <c r="C30" i="10"/>
  <c r="D30" i="10"/>
  <c r="B31" i="10"/>
  <c r="C31" i="10"/>
  <c r="D31" i="10"/>
  <c r="B32" i="10"/>
  <c r="C32" i="10"/>
  <c r="D32" i="10"/>
  <c r="B33" i="10"/>
  <c r="C33" i="10"/>
  <c r="D33" i="10"/>
  <c r="B34" i="10"/>
  <c r="C34" i="10"/>
  <c r="D34" i="10"/>
  <c r="B35" i="10"/>
  <c r="C35" i="10"/>
  <c r="D35" i="10"/>
  <c r="B36" i="10"/>
  <c r="C36" i="10"/>
  <c r="D36" i="10"/>
  <c r="B37" i="10"/>
  <c r="C37" i="10"/>
  <c r="D37" i="10"/>
  <c r="B38" i="10"/>
  <c r="C38" i="10"/>
  <c r="D38" i="10"/>
  <c r="B39" i="10"/>
  <c r="C39" i="10"/>
  <c r="D39" i="10"/>
  <c r="B40" i="10"/>
  <c r="C40" i="10"/>
  <c r="D40" i="10"/>
  <c r="B41" i="10"/>
  <c r="C41" i="10"/>
  <c r="D41" i="10"/>
  <c r="B42" i="10"/>
  <c r="C42" i="10"/>
  <c r="D42" i="10"/>
  <c r="B43" i="10"/>
  <c r="C43" i="10"/>
  <c r="D43" i="10"/>
  <c r="B44" i="10"/>
  <c r="C44" i="10"/>
  <c r="D44" i="10"/>
  <c r="B45" i="10"/>
  <c r="C45" i="10"/>
  <c r="D45" i="10"/>
  <c r="B46" i="10"/>
  <c r="C46" i="10"/>
  <c r="D46" i="10"/>
  <c r="B47" i="10"/>
  <c r="C47" i="10"/>
  <c r="D47" i="10"/>
  <c r="B48" i="10"/>
  <c r="C48" i="10"/>
  <c r="D48" i="10"/>
  <c r="B49" i="10"/>
  <c r="C49" i="10"/>
  <c r="D49" i="10"/>
  <c r="B50" i="10"/>
  <c r="C50" i="10"/>
  <c r="D50" i="10"/>
  <c r="B51" i="10"/>
  <c r="C51" i="10"/>
  <c r="D51" i="10"/>
  <c r="B52" i="10"/>
  <c r="C52" i="10"/>
  <c r="D52" i="10"/>
  <c r="B53" i="10"/>
  <c r="C53" i="10"/>
  <c r="D53" i="10"/>
  <c r="B54" i="10"/>
  <c r="C54" i="10"/>
  <c r="D54" i="10"/>
  <c r="B55" i="10"/>
  <c r="C55" i="10"/>
  <c r="D55" i="10"/>
  <c r="B56" i="10"/>
  <c r="C56" i="10"/>
  <c r="D56" i="10"/>
  <c r="B57" i="10"/>
  <c r="C57" i="10"/>
  <c r="D57" i="10"/>
  <c r="B58" i="10"/>
  <c r="C58" i="10"/>
  <c r="D58" i="10"/>
  <c r="B59" i="10"/>
  <c r="C59" i="10"/>
  <c r="D59" i="10"/>
  <c r="B60" i="10"/>
  <c r="C60" i="10"/>
  <c r="D60" i="10"/>
  <c r="B61" i="10"/>
  <c r="C61" i="10"/>
  <c r="D61" i="10"/>
  <c r="B62" i="10"/>
  <c r="C62" i="10"/>
  <c r="D62" i="10"/>
  <c r="B63" i="10"/>
  <c r="C63" i="10"/>
  <c r="D63" i="10"/>
  <c r="C7" i="10"/>
  <c r="D7" i="10"/>
  <c r="B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7" i="10"/>
  <c r="F8" i="10"/>
  <c r="G8" i="10"/>
  <c r="F9" i="10"/>
  <c r="G9" i="10"/>
  <c r="F10" i="10"/>
  <c r="G10" i="10"/>
  <c r="F11" i="10"/>
  <c r="G11" i="10"/>
  <c r="F12" i="10"/>
  <c r="G12" i="10"/>
  <c r="F13" i="10"/>
  <c r="G13" i="10"/>
  <c r="F14" i="10"/>
  <c r="G14" i="10"/>
  <c r="F15" i="10"/>
  <c r="G15" i="10"/>
  <c r="F16" i="10"/>
  <c r="G16" i="10"/>
  <c r="F17" i="10"/>
  <c r="G17" i="10"/>
  <c r="F18" i="10"/>
  <c r="G18" i="10"/>
  <c r="F19" i="10"/>
  <c r="G19" i="10"/>
  <c r="F20" i="10"/>
  <c r="G20" i="10"/>
  <c r="F21" i="10"/>
  <c r="G21" i="10"/>
  <c r="F22" i="10"/>
  <c r="G22" i="10"/>
  <c r="F23" i="10"/>
  <c r="G23" i="10"/>
  <c r="F24" i="10"/>
  <c r="G24" i="10"/>
  <c r="F25" i="10"/>
  <c r="G25" i="10"/>
  <c r="F26" i="10"/>
  <c r="G26" i="10"/>
  <c r="F27" i="10"/>
  <c r="G27" i="10"/>
  <c r="F28" i="10"/>
  <c r="G28" i="10"/>
  <c r="F29" i="10"/>
  <c r="G29" i="10"/>
  <c r="F30" i="10"/>
  <c r="G30" i="10"/>
  <c r="F31" i="10"/>
  <c r="G31" i="10"/>
  <c r="F32" i="10"/>
  <c r="G32" i="10"/>
  <c r="F33" i="10"/>
  <c r="G33" i="10"/>
  <c r="F34" i="10"/>
  <c r="G34" i="10"/>
  <c r="F35" i="10"/>
  <c r="G35" i="10"/>
  <c r="F36" i="10"/>
  <c r="G36" i="10"/>
  <c r="F37" i="10"/>
  <c r="G37" i="10"/>
  <c r="F38" i="10"/>
  <c r="G38" i="10"/>
  <c r="F39" i="10"/>
  <c r="G39" i="10"/>
  <c r="F40" i="10"/>
  <c r="G40" i="10"/>
  <c r="F41" i="10"/>
  <c r="G41" i="10"/>
  <c r="F42" i="10"/>
  <c r="G42" i="10"/>
  <c r="F43" i="10"/>
  <c r="G43" i="10"/>
  <c r="F44" i="10"/>
  <c r="G44" i="10"/>
  <c r="F45" i="10"/>
  <c r="G45" i="10"/>
  <c r="F46" i="10"/>
  <c r="G46" i="10"/>
  <c r="F47" i="10"/>
  <c r="G47" i="10"/>
  <c r="F48" i="10"/>
  <c r="G48" i="10"/>
  <c r="F49" i="10"/>
  <c r="G49" i="10"/>
  <c r="F50" i="10"/>
  <c r="G50" i="10"/>
  <c r="F51" i="10"/>
  <c r="G51" i="10"/>
  <c r="F52" i="10"/>
  <c r="G52" i="10"/>
  <c r="F53" i="10"/>
  <c r="G53" i="10"/>
  <c r="F54" i="10"/>
  <c r="G54" i="10"/>
  <c r="F55" i="10"/>
  <c r="G55" i="10"/>
  <c r="F56" i="10"/>
  <c r="G56" i="10"/>
  <c r="F57" i="10"/>
  <c r="G57" i="10"/>
  <c r="F58" i="10"/>
  <c r="G58" i="10"/>
  <c r="F59" i="10"/>
  <c r="G59" i="10"/>
  <c r="F60" i="10"/>
  <c r="G60" i="10"/>
  <c r="F61" i="10"/>
  <c r="G61" i="10"/>
  <c r="F62" i="10"/>
  <c r="G62" i="10"/>
  <c r="F63" i="10"/>
  <c r="G63" i="10"/>
  <c r="F64" i="10"/>
  <c r="G64" i="10"/>
  <c r="F65" i="10"/>
  <c r="G65" i="10"/>
  <c r="F66" i="10"/>
  <c r="G66" i="10"/>
  <c r="F67" i="10"/>
  <c r="G67" i="10"/>
  <c r="F68" i="10"/>
  <c r="G68" i="10"/>
  <c r="F69" i="10"/>
  <c r="G69" i="10"/>
  <c r="F70" i="10"/>
  <c r="G70" i="10"/>
  <c r="F71" i="10"/>
  <c r="G71" i="10"/>
  <c r="F72" i="10"/>
  <c r="G72" i="10"/>
  <c r="F73" i="10"/>
  <c r="G73" i="10"/>
  <c r="F74" i="10"/>
  <c r="G74" i="10"/>
  <c r="F75" i="10"/>
  <c r="G75" i="10"/>
  <c r="F76" i="10"/>
  <c r="G76" i="10"/>
  <c r="F77" i="10"/>
  <c r="G77" i="10"/>
  <c r="F78" i="10"/>
  <c r="G78" i="10"/>
  <c r="F79" i="10"/>
  <c r="G79" i="10"/>
  <c r="F80" i="10"/>
  <c r="G80" i="10"/>
  <c r="F81" i="10"/>
  <c r="G81" i="10"/>
  <c r="F82" i="10"/>
  <c r="G82" i="10"/>
  <c r="F83" i="10"/>
  <c r="G83" i="10"/>
  <c r="F84" i="10"/>
  <c r="G84" i="10"/>
  <c r="F85" i="10"/>
  <c r="G85" i="10"/>
  <c r="F86" i="10"/>
  <c r="G86" i="10"/>
  <c r="F87" i="10"/>
  <c r="G87" i="10"/>
  <c r="F88" i="10"/>
  <c r="G88" i="10"/>
  <c r="F89" i="10"/>
  <c r="G89" i="10"/>
  <c r="F90" i="10"/>
  <c r="G90" i="10"/>
  <c r="F91" i="10"/>
  <c r="G91" i="10"/>
  <c r="F92" i="10"/>
  <c r="G92" i="10"/>
  <c r="F93" i="10"/>
  <c r="G93" i="10"/>
  <c r="F94" i="10"/>
  <c r="G94" i="10"/>
  <c r="G7" i="10"/>
  <c r="F7" i="10"/>
</calcChain>
</file>

<file path=xl/sharedStrings.xml><?xml version="1.0" encoding="utf-8"?>
<sst xmlns="http://schemas.openxmlformats.org/spreadsheetml/2006/main" count="1020" uniqueCount="250">
  <si>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</si>
  <si>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</si>
  <si>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</si>
  <si>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</si>
  <si>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</si>
  <si>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</si>
  <si>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</si>
  <si>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</si>
  <si>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</si>
  <si>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</si>
  <si>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</si>
  <si>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</si>
  <si>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</si>
  <si>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</si>
  <si>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</si>
  <si>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</si>
  <si>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</si>
  <si>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</si>
  <si>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</si>
  <si>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</si>
  <si>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</si>
  <si>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</si>
  <si>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</si>
  <si>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</si>
  <si>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</si>
  <si>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</si>
  <si>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</si>
  <si>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</si>
  <si>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</si>
  <si>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</si>
  <si>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</si>
  <si>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</si>
  <si>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</si>
  <si>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</si>
  <si>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</si>
  <si>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</si>
  <si>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</si>
  <si>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</si>
  <si>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</si>
  <si>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</si>
  <si>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</si>
  <si>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</si>
  <si>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</si>
  <si>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</si>
  <si>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</si>
  <si>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</si>
  <si>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</si>
  <si>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</si>
  <si>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</si>
  <si>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</si>
  <si>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</si>
  <si>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</si>
  <si>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</si>
  <si>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</si>
  <si>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</si>
  <si>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Sheet index</t>
  </si>
  <si>
    <t xml:space="preserve">#                </t>
  </si>
  <si>
    <t>Worksheet</t>
  </si>
  <si>
    <t>Notes</t>
  </si>
  <si>
    <t>Index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</si>
  <si>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</si>
  <si>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</si>
  <si>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</si>
  <si>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</si>
  <si>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</si>
  <si>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</si>
  <si>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</si>
  <si>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</si>
  <si>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</si>
  <si>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</si>
  <si>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</si>
  <si>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</si>
  <si>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</si>
  <si>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</si>
  <si>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</si>
  <si>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</si>
  <si>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</si>
  <si>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</si>
  <si>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</si>
  <si>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</si>
  <si>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</si>
  <si>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</si>
  <si>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</si>
  <si>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</si>
  <si>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</si>
  <si>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</si>
  <si>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</si>
  <si>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</si>
  <si>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</si>
  <si>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</si>
  <si>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</si>
  <si>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</si>
  <si>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</si>
  <si>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</si>
  <si>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</si>
  <si>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</si>
  <si>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</si>
  <si>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</si>
  <si>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</si>
  <si>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</si>
  <si>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</si>
  <si>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</si>
  <si>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</si>
  <si>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</si>
  <si>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</si>
  <si>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</si>
  <si>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</si>
  <si>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</si>
  <si>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</si>
  <si>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</si>
  <si>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</si>
  <si>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</si>
  <si>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</si>
  <si>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</si>
  <si>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</si>
  <si>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</si>
  <si>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</si>
  <si>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</si>
  <si>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</si>
  <si>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</si>
  <si>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</si>
  <si>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</si>
  <si>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</si>
  <si>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</si>
  <si>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</si>
  <si>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</si>
  <si>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</si>
  <si>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</si>
  <si>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</si>
  <si>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</si>
  <si>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</si>
  <si>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</si>
  <si>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</si>
  <si>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</si>
  <si>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</si>
  <si>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</si>
  <si>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</si>
  <si>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</si>
  <si>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</si>
  <si>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</si>
  <si>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</si>
  <si>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</si>
  <si>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</si>
  <si>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</si>
  <si>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</si>
  <si>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</si>
  <si>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</si>
  <si>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</si>
  <si>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</si>
  <si>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</si>
  <si>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</si>
  <si>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</si>
  <si>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</si>
  <si>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</si>
  <si>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</si>
  <si>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</si>
  <si>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</si>
  <si>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</si>
  <si>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</si>
  <si>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</si>
  <si>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</si>
  <si>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</si>
  <si>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</si>
  <si>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</si>
  <si>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Database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</si>
  <si>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</si>
  <si>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</si>
  <si>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</si>
  <si>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</si>
  <si>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</si>
  <si>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</si>
  <si>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</si>
  <si>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</si>
  <si>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</si>
  <si>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</si>
  <si>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</si>
  <si>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</si>
  <si>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</si>
  <si>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</si>
  <si>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</si>
  <si>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</si>
  <si>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</si>
  <si>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</si>
  <si>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</si>
  <si>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</si>
  <si>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</si>
  <si>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</si>
  <si>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</si>
  <si>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</si>
  <si>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</si>
  <si>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</si>
  <si>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</si>
  <si>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</si>
  <si>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</si>
  <si>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</si>
  <si>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</si>
  <si>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</si>
  <si>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</si>
  <si>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</si>
  <si>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</si>
  <si>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</si>
  <si>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</si>
  <si>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</si>
  <si>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</si>
  <si>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</si>
  <si>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</si>
  <si>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</si>
  <si>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</si>
  <si>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</si>
  <si>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</si>
  <si>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</si>
  <si>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</si>
  <si>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</si>
  <si>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P&amp;L Account</t>
  </si>
  <si>
    <t>Name Of Partner Company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</si>
  <si>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</si>
  <si>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</si>
  <si>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</si>
  <si>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</si>
  <si>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</si>
  <si>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</si>
  <si>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</si>
  <si>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</si>
  <si>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</si>
  <si>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</si>
  <si>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</si>
  <si>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</si>
  <si>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</si>
  <si>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</si>
  <si>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</si>
  <si>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</si>
  <si>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</si>
  <si>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</si>
  <si>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</si>
  <si>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</si>
  <si>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Other operating expensens</t>
  </si>
  <si>
    <t>EBITDA</t>
  </si>
  <si>
    <t>EBIT</t>
  </si>
  <si>
    <t>EBT</t>
  </si>
  <si>
    <t>Net income</t>
  </si>
  <si>
    <t>EUR in millions</t>
  </si>
  <si>
    <t>Var % FY16-F17</t>
  </si>
  <si>
    <t>Var% FY17-F18</t>
  </si>
  <si>
    <t>IF(ISERROR((D3/C3)-1);"n.a.";IF(((D3/C3)-1)&gt;1;"&gt;100.0%";IF(((D3/C3)-1)&lt;-1;"&lt;-100.0%";((D3/C3)-1))))</t>
  </si>
  <si>
    <t>KPIS</t>
  </si>
  <si>
    <t>GM%</t>
  </si>
  <si>
    <t>EBITDA%</t>
  </si>
  <si>
    <t>EBIT%</t>
  </si>
  <si>
    <t>Extractions</t>
  </si>
  <si>
    <t>Database and P&amp;L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</si>
</sst>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3" formatCode="_(* #,##0.00_);_(* \(#,##0.00\);_(* &quot;-&quot;??_);_(@_)"/>
    <numFmt numFmtId="164" formatCode="_(* #,##0_);_(* \(#,##0\);_(* &quot;-&quot;??_);_(@_)"/>
    <numFmt numFmtId="167" formatCode="0.00_);\(0.00\)"/>
  </numFmts>
  <fonts count="2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sz val="11"/>
      <color rgb="FF9C5700"/>
      <name val="Calibri"/>
      <family val="2"/>
      <scheme val="minor"/>
    </font>
    <font>
      <b/>
      <sz val="11"/>
      <color rgb="FF9C570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b/>
      <sz val="16"/>
      <color rgb="FF00206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Arial"/>
      <family val="2"/>
      <charset val="204"/>
    </font>
    <font>
      <sz val="9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4" fillId="0" borderId="1" applyFill="0" applyProtection="0">
      <alignment horizontal="right" wrapText="1"/>
    </xf>
    <xf numFmtId="43" fontId="12" fillId="0" borderId="0" applyFont="0" applyFill="0" applyBorder="0" applyAlignment="0" applyProtection="0"/>
    <xf numFmtId="0" fontId="13" fillId="0" borderId="0" applyNumberFormat="0" applyFill="0" applyBorder="0" applyAlignment="0" applyProtection="0"/>
    <xf numFmtId="9" fontId="12" fillId="0" borderId="0" applyFont="0" applyFill="0" applyBorder="0" applyAlignment="0" applyProtection="0"/>
    <xf numFmtId="0" fontId="16" fillId="5" borderId="0" applyNumberFormat="0" applyBorder="0" applyAlignment="0" applyProtection="0"/>
  </cellStyleXfs>
  <cellXfs count="48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3" fillId="2" borderId="0" xfId="0" applyFont="1" applyFill="1"/>
    <xf numFmtId="0" fontId="5" fillId="2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7" fillId="3" borderId="0" xfId="0" applyFont="1" applyFill="1"/>
    <xf numFmtId="0" fontId="8" fillId="3" borderId="0" xfId="0" applyFont="1" applyFill="1" applyAlignment="1">
      <alignment horizontal="left"/>
    </xf>
    <xf numFmtId="0" fontId="9" fillId="3" borderId="0" xfId="0" applyFont="1" applyFill="1"/>
    <xf numFmtId="0" fontId="10" fillId="2" borderId="1" xfId="1" applyFont="1" applyFill="1" applyAlignment="1">
      <alignment horizontal="left" wrapText="1"/>
    </xf>
    <xf numFmtId="0" fontId="11" fillId="2" borderId="0" xfId="0" applyFont="1" applyFill="1"/>
    <xf numFmtId="0" fontId="14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5" fillId="2" borderId="0" xfId="3" applyFont="1" applyFill="1"/>
    <xf numFmtId="0" fontId="17" fillId="5" borderId="2" xfId="5" applyFont="1" applyBorder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164" fontId="1" fillId="2" borderId="0" xfId="2" applyNumberFormat="1" applyFont="1" applyFill="1" applyAlignment="1">
      <alignment horizontal="left" vertical="top"/>
    </xf>
    <xf numFmtId="0" fontId="1" fillId="2" borderId="0" xfId="0" applyNumberFormat="1" applyFont="1" applyFill="1" applyAlignment="1">
      <alignment horizontal="left" vertical="top"/>
    </xf>
    <xf numFmtId="0" fontId="1" fillId="4" borderId="0" xfId="0" applyFont="1" applyFill="1" applyAlignment="1">
      <alignment horizontal="left" vertical="top"/>
    </xf>
    <xf numFmtId="164" fontId="1" fillId="4" borderId="0" xfId="2" applyNumberFormat="1" applyFont="1" applyFill="1" applyAlignment="1">
      <alignment horizontal="left" vertical="top"/>
    </xf>
    <xf numFmtId="0" fontId="1" fillId="4" borderId="0" xfId="0" applyNumberFormat="1" applyFont="1" applyFill="1" applyAlignment="1">
      <alignment horizontal="left" vertical="top"/>
    </xf>
    <xf numFmtId="0" fontId="19" fillId="5" borderId="2" xfId="5" applyFont="1" applyBorder="1" applyAlignment="1">
      <alignment horizontal="left" vertical="top"/>
    </xf>
    <xf numFmtId="7" fontId="1" fillId="2" borderId="0" xfId="0" applyNumberFormat="1" applyFont="1" applyFill="1" applyAlignment="1">
      <alignment horizontal="left"/>
    </xf>
    <xf numFmtId="0" fontId="20" fillId="2" borderId="0" xfId="0" applyFont="1" applyFill="1"/>
    <xf numFmtId="0" fontId="18" fillId="6" borderId="3" xfId="0" applyFont="1" applyFill="1" applyBorder="1" applyAlignment="1">
      <alignment horizontal="right"/>
    </xf>
    <xf numFmtId="0" fontId="21" fillId="2" borderId="0" xfId="0" applyFont="1" applyFill="1"/>
    <xf numFmtId="0" fontId="21" fillId="2" borderId="2" xfId="0" applyFont="1" applyFill="1" applyBorder="1"/>
    <xf numFmtId="0" fontId="21" fillId="2" borderId="4" xfId="0" applyFont="1" applyFill="1" applyBorder="1"/>
    <xf numFmtId="0" fontId="23" fillId="0" borderId="0" xfId="0" applyFont="1"/>
    <xf numFmtId="167" fontId="0" fillId="0" borderId="0" xfId="0" applyNumberFormat="1"/>
    <xf numFmtId="167" fontId="0" fillId="0" borderId="2" xfId="0" applyNumberFormat="1" applyBorder="1"/>
    <xf numFmtId="167" fontId="0" fillId="0" borderId="5" xfId="0" applyNumberFormat="1" applyBorder="1"/>
    <xf numFmtId="0" fontId="25" fillId="2" borderId="0" xfId="0" applyFont="1" applyFill="1"/>
    <xf numFmtId="9" fontId="26" fillId="0" borderId="0" xfId="4" applyFont="1" applyAlignment="1">
      <alignment horizontal="right"/>
    </xf>
    <xf numFmtId="0" fontId="22" fillId="7" borderId="0" xfId="0" applyFont="1" applyFill="1"/>
    <xf numFmtId="167" fontId="0" fillId="7" borderId="0" xfId="0" applyNumberFormat="1" applyFill="1"/>
    <xf numFmtId="9" fontId="26" fillId="7" borderId="0" xfId="4" applyFont="1" applyFill="1" applyAlignment="1">
      <alignment horizontal="right"/>
    </xf>
    <xf numFmtId="0" fontId="0" fillId="8" borderId="2" xfId="0" applyFill="1" applyBorder="1"/>
    <xf numFmtId="0" fontId="0" fillId="8" borderId="0" xfId="0" applyFill="1"/>
    <xf numFmtId="9" fontId="0" fillId="8" borderId="0" xfId="4" applyFont="1" applyFill="1"/>
  </cellXfs>
  <cellStyles count="6">
    <cellStyle name="Comma" xfId="2" builtinId="3"/>
    <cellStyle name="Hyperlink" xfId="3" builtinId="8"/>
    <cellStyle name="Neutral" xfId="5" builtinId="28"/>
    <cellStyle name="Normal" xfId="0" builtinId="0"/>
    <cellStyle name="Percent" xfId="4" builtinId="5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409575</xdr:colOff>
      <xdr:row>1</xdr:row>
      <xdr:rowOff>47625</xdr:rowOff>
    </xdr:from>
    <xdr:to>
      <xdr:col>22</xdr:col>
      <xdr:colOff>161925</xdr:colOff>
      <xdr:row>9</xdr:row>
      <xdr:rowOff>123825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CC5F93E-D83D-4B4B-89B1-338446E748AB}"/>
            </a:ext>
          </a:extLst>
        </xdr:cNvPr>
        <xdr:cNvSpPr txBox="1"/>
      </xdr:nvSpPr>
      <xdr:spPr>
        <a:xfrm>
          <a:off x="12249150" y="247650"/>
          <a:ext cx="5238750" cy="13335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Same</a:t>
          </a:r>
          <a:r>
            <a:rPr lang="en-US" sz="1200" baseline="0"/>
            <a:t> account number but different partner company, so we created a code of both account number and partner company. Copied codes and pasted values.</a:t>
          </a:r>
        </a:p>
        <a:p>
          <a:endParaRPr lang="en-US" sz="12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111875</xdr:colOff>
      <xdr:row>0</xdr:row>
      <xdr:rowOff>33367</xdr:rowOff>
    </xdr:from>
    <xdr:to>
      <xdr:col>7</xdr:col>
      <xdr:colOff>582089</xdr:colOff>
      <xdr:row>3</xdr:row>
      <xdr:rowOff>194642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E92E2B8-BED0-2117-B3AE-64892B10E4B7}"/>
            </a:ext>
          </a:extLst>
        </xdr:cNvPr>
        <xdr:cNvSpPr txBox="1"/>
      </xdr:nvSpPr>
      <xdr:spPr>
        <a:xfrm>
          <a:off x="2646353" y="33367"/>
          <a:ext cx="4230519" cy="70792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Inserted database codes,</a:t>
          </a:r>
          <a:r>
            <a:rPr lang="en-US" sz="1100" baseline="0"/>
            <a:t> removed duplicates.</a:t>
          </a:r>
        </a:p>
        <a:p>
          <a:r>
            <a:rPr lang="en-US" sz="1100" baseline="0"/>
            <a:t>Used XLOOKUP to retrieve information from FY16, FY17, FY18 sheets</a:t>
          </a:r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142875</xdr:rowOff>
    </xdr:from>
    <xdr:to>
      <xdr:col>12</xdr:col>
      <xdr:colOff>419100</xdr:colOff>
      <xdr:row>1</xdr:row>
      <xdr:rowOff>180975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E2C4EB7-FBF3-7701-ED85-E69CA569CEE3}"/>
            </a:ext>
          </a:extLst>
        </xdr:cNvPr>
        <xdr:cNvSpPr txBox="1"/>
      </xdr:nvSpPr>
      <xdr:spPr>
        <a:xfrm>
          <a:off x="6248400" y="142875"/>
          <a:ext cx="3457575" cy="2952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Formula for calculating year-on-year % variations: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B12"/>
    </sheetView>
  </sheetViews>
  <sheetFormatPr defaultColWidth="9.140625"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3" t="s">
        <v>29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tabSelected="1" workbookViewId="0">
      <selection activeCell="B4" sqref="B4"/>
    </sheetView>
  </sheetViews>
  <sheetFormatPr defaultColWidth="9.140625"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99</v>
      </c>
    </row>
    <row r="2" spans="2:4" x14ac:dyDescent="0.2">
      <c r="B2" s="6" t="s">
        <v>55</v>
      </c>
    </row>
    <row r="4" spans="2:4" ht="12.75" thickBot="1" x14ac:dyDescent="0.25">
      <c r="B4" s="12" t="s">
        <v>56</v>
      </c>
      <c r="C4" s="12" t="s">
        <v>57</v>
      </c>
      <c r="D4" s="12" t="s">
        <v>58</v>
      </c>
    </row>
    <row r="5" spans="2:4" x14ac:dyDescent="0.2">
      <c r="B5" s="7">
        <v>1</v>
      </c>
      <c r="C5" s="14" t="s">
        <v>59</v>
      </c>
    </row>
    <row r="6" spans="2:4" x14ac:dyDescent="0.2">
      <c r="B6" s="10" t="s">
        <v>248</v>
      </c>
      <c r="C6" s="11"/>
      <c r="D6" s="11"/>
    </row>
    <row r="7" spans="2:4" x14ac:dyDescent="0.2">
      <c r="B7" s="7">
        <v>3</v>
      </c>
      <c r="C7" s="21" t="s">
        <v>100</v>
      </c>
    </row>
    <row r="8" spans="2:4" x14ac:dyDescent="0.2">
      <c r="B8" s="7">
        <v>4</v>
      </c>
      <c r="C8" s="21" t="s">
        <v>101</v>
      </c>
    </row>
    <row r="9" spans="2:4" x14ac:dyDescent="0.2">
      <c r="B9" s="7">
        <v>5</v>
      </c>
      <c r="C9" s="21" t="s">
        <v>102</v>
      </c>
    </row>
    <row r="10" spans="2:4" x14ac:dyDescent="0.2">
      <c r="B10" s="10" t="s">
        <v>249</v>
      </c>
      <c r="C10" s="11"/>
      <c r="D10" s="11"/>
    </row>
    <row r="11" spans="2:4" x14ac:dyDescent="0.2">
      <c r="B11" s="7">
        <v>7</v>
      </c>
      <c r="C11" s="14" t="s">
        <v>88</v>
      </c>
    </row>
    <row r="12" spans="2:4" x14ac:dyDescent="0.2">
      <c r="B12" s="7">
        <v>8</v>
      </c>
      <c r="C12" s="14" t="s">
        <v>89</v>
      </c>
    </row>
    <row r="13" spans="2:4" x14ac:dyDescent="0.2">
      <c r="B13" s="8"/>
      <c r="C13" s="11"/>
      <c r="D13" s="9"/>
    </row>
    <row r="14" spans="2:4" x14ac:dyDescent="0.2">
      <c r="B14" s="7"/>
      <c r="C14" s="14"/>
    </row>
    <row r="15" spans="2:4" x14ac:dyDescent="0.2">
      <c r="B15" s="7"/>
      <c r="C15" s="14"/>
    </row>
    <row r="16" spans="2:4" x14ac:dyDescent="0.2">
      <c r="B16" s="7"/>
      <c r="C16" s="14"/>
    </row>
    <row r="17" spans="2:3" x14ac:dyDescent="0.2">
      <c r="B17" s="7"/>
      <c r="C17" s="14"/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96"/>
  <sheetViews>
    <sheetView workbookViewId="0">
      <selection activeCell="B54" sqref="B54"/>
    </sheetView>
  </sheetViews>
  <sheetFormatPr defaultColWidth="9.140625" defaultRowHeight="12" x14ac:dyDescent="0.2"/>
  <cols>
    <col min="1" max="1" width="17.28515625" style="2" bestFit="1" customWidth="1"/>
    <col min="2" max="2" width="27.42578125" style="2" bestFit="1" customWidth="1"/>
    <col min="3" max="3" width="16.140625" style="2" bestFit="1" customWidth="1"/>
    <col min="4" max="4" width="24.42578125" style="2" bestFit="1" customWidth="1"/>
    <col min="5" max="5" width="11.5703125" style="2" bestFit="1" customWidth="1"/>
    <col min="6" max="6" width="15.7109375" style="2" bestFit="1" customWidth="1"/>
    <col min="7" max="7" width="17.28515625" style="2" bestFit="1" customWidth="1"/>
    <col min="8" max="16384" width="9.140625" style="2"/>
  </cols>
  <sheetData>
    <row r="1" spans="1:7" ht="15.75" x14ac:dyDescent="0.25">
      <c r="B1" s="3" t="s">
        <v>103</v>
      </c>
    </row>
    <row r="4" spans="1:7" ht="15" x14ac:dyDescent="0.2">
      <c r="A4" s="22" t="s">
        <v>106</v>
      </c>
      <c r="B4" s="22" t="s">
        <v>90</v>
      </c>
      <c r="C4" s="22" t="s">
        <v>30</v>
      </c>
      <c r="D4" s="22" t="s">
        <v>91</v>
      </c>
      <c r="E4" s="22" t="s">
        <v>92</v>
      </c>
      <c r="F4" s="22" t="s">
        <v>93</v>
      </c>
      <c r="G4" s="22"/>
    </row>
    <row r="5" spans="1:7" x14ac:dyDescent="0.2">
      <c r="A5" s="2" t="s">
        <v>107</v>
      </c>
      <c r="B5" s="23" t="s">
        <v>61</v>
      </c>
      <c r="C5" s="23">
        <v>111111</v>
      </c>
      <c r="D5" s="23" t="s">
        <v>94</v>
      </c>
      <c r="E5" s="24">
        <v>-14500341</v>
      </c>
      <c r="F5" s="25">
        <v>2001110000</v>
      </c>
    </row>
    <row r="6" spans="1:7" x14ac:dyDescent="0.2">
      <c r="A6" s="2" t="s">
        <v>108</v>
      </c>
      <c r="B6" s="23" t="s">
        <v>62</v>
      </c>
      <c r="C6" s="23">
        <v>111111</v>
      </c>
      <c r="D6" s="23" t="s">
        <v>94</v>
      </c>
      <c r="E6" s="24">
        <v>-4794856.1919999998</v>
      </c>
      <c r="F6" s="25">
        <v>2001190000</v>
      </c>
    </row>
    <row r="7" spans="1:7" x14ac:dyDescent="0.2">
      <c r="A7" s="2" t="s">
        <v>109</v>
      </c>
      <c r="B7" s="23" t="s">
        <v>63</v>
      </c>
      <c r="C7" s="23">
        <v>1009</v>
      </c>
      <c r="D7" s="23" t="s">
        <v>34</v>
      </c>
      <c r="E7" s="24">
        <v>-154890.4</v>
      </c>
      <c r="F7" s="25">
        <v>2020000000</v>
      </c>
    </row>
    <row r="8" spans="1:7" x14ac:dyDescent="0.2">
      <c r="A8" s="2" t="s">
        <v>110</v>
      </c>
      <c r="B8" s="23" t="s">
        <v>63</v>
      </c>
      <c r="C8" s="23">
        <v>1007</v>
      </c>
      <c r="D8" s="23" t="s">
        <v>36</v>
      </c>
      <c r="E8" s="24">
        <v>-1180894.0520000001</v>
      </c>
      <c r="F8" s="25">
        <v>2020000000</v>
      </c>
    </row>
    <row r="9" spans="1:7" x14ac:dyDescent="0.2">
      <c r="A9" s="2" t="s">
        <v>111</v>
      </c>
      <c r="B9" s="23" t="s">
        <v>63</v>
      </c>
      <c r="C9" s="23">
        <v>1008</v>
      </c>
      <c r="D9" s="23" t="s">
        <v>38</v>
      </c>
      <c r="E9" s="24">
        <v>-793079.51199999999</v>
      </c>
      <c r="F9" s="25">
        <v>2020000000</v>
      </c>
    </row>
    <row r="10" spans="1:7" x14ac:dyDescent="0.2">
      <c r="A10" s="2" t="s">
        <v>112</v>
      </c>
      <c r="B10" s="23" t="s">
        <v>63</v>
      </c>
      <c r="C10" s="23">
        <v>111101</v>
      </c>
      <c r="D10" s="23" t="s">
        <v>0</v>
      </c>
      <c r="E10" s="24">
        <v>-2277197.6</v>
      </c>
      <c r="F10" s="25">
        <v>2020000000</v>
      </c>
    </row>
    <row r="11" spans="1:7" x14ac:dyDescent="0.2">
      <c r="A11" s="2" t="s">
        <v>113</v>
      </c>
      <c r="B11" s="23" t="s">
        <v>95</v>
      </c>
      <c r="C11" s="23">
        <v>111111</v>
      </c>
      <c r="D11" s="23" t="s">
        <v>94</v>
      </c>
      <c r="E11" s="24">
        <v>4428911.7640000004</v>
      </c>
      <c r="F11" s="25">
        <v>2021900000</v>
      </c>
    </row>
    <row r="12" spans="1:7" x14ac:dyDescent="0.2">
      <c r="A12" s="2" t="s">
        <v>114</v>
      </c>
      <c r="B12" s="23" t="s">
        <v>65</v>
      </c>
      <c r="C12" s="23">
        <v>111111</v>
      </c>
      <c r="D12" s="23" t="s">
        <v>94</v>
      </c>
      <c r="E12" s="24">
        <v>16977.628000000001</v>
      </c>
      <c r="F12" s="25">
        <v>2024080000</v>
      </c>
    </row>
    <row r="13" spans="1:7" x14ac:dyDescent="0.2">
      <c r="A13" s="2" t="s">
        <v>115</v>
      </c>
      <c r="B13" s="23" t="s">
        <v>64</v>
      </c>
      <c r="C13" s="23">
        <v>88</v>
      </c>
      <c r="D13" s="23" t="s">
        <v>31</v>
      </c>
      <c r="E13" s="24">
        <v>2245437.54</v>
      </c>
      <c r="F13" s="25">
        <v>2024090000</v>
      </c>
    </row>
    <row r="14" spans="1:7" x14ac:dyDescent="0.2">
      <c r="A14" s="2" t="s">
        <v>116</v>
      </c>
      <c r="B14" s="23" t="s">
        <v>64</v>
      </c>
      <c r="C14" s="23">
        <v>111111</v>
      </c>
      <c r="D14" s="23" t="s">
        <v>94</v>
      </c>
      <c r="E14" s="24">
        <v>16605.634000000002</v>
      </c>
      <c r="F14" s="25">
        <v>2024090000</v>
      </c>
    </row>
    <row r="15" spans="1:7" x14ac:dyDescent="0.2">
      <c r="A15" s="2" t="s">
        <v>117</v>
      </c>
      <c r="B15" s="23" t="s">
        <v>1</v>
      </c>
      <c r="C15" s="23">
        <v>111111</v>
      </c>
      <c r="D15" s="23" t="s">
        <v>94</v>
      </c>
      <c r="E15" s="24">
        <v>4683394.0460000001</v>
      </c>
      <c r="F15" s="25">
        <v>2041000000</v>
      </c>
    </row>
    <row r="16" spans="1:7" x14ac:dyDescent="0.2">
      <c r="A16" s="2" t="s">
        <v>118</v>
      </c>
      <c r="B16" s="23" t="s">
        <v>66</v>
      </c>
      <c r="C16" s="23">
        <v>111101</v>
      </c>
      <c r="D16" s="23" t="s">
        <v>0</v>
      </c>
      <c r="E16" s="24">
        <v>1143051.5760000001</v>
      </c>
      <c r="F16" s="25">
        <v>2042000000</v>
      </c>
    </row>
    <row r="17" spans="1:6" x14ac:dyDescent="0.2">
      <c r="A17" s="2" t="s">
        <v>119</v>
      </c>
      <c r="B17" s="23" t="s">
        <v>66</v>
      </c>
      <c r="C17" s="23">
        <v>88</v>
      </c>
      <c r="D17" s="23" t="s">
        <v>31</v>
      </c>
      <c r="E17" s="24">
        <v>239379.61800000002</v>
      </c>
      <c r="F17" s="25">
        <v>2042000000</v>
      </c>
    </row>
    <row r="18" spans="1:6" x14ac:dyDescent="0.2">
      <c r="A18" s="2" t="s">
        <v>120</v>
      </c>
      <c r="B18" s="23" t="s">
        <v>67</v>
      </c>
      <c r="C18" s="23">
        <v>111101</v>
      </c>
      <c r="D18" s="23" t="s">
        <v>0</v>
      </c>
      <c r="E18" s="24">
        <v>104913.8</v>
      </c>
      <c r="F18" s="25">
        <v>2045000000</v>
      </c>
    </row>
    <row r="19" spans="1:6" x14ac:dyDescent="0.2">
      <c r="A19" s="2" t="s">
        <v>121</v>
      </c>
      <c r="B19" s="23" t="s">
        <v>68</v>
      </c>
      <c r="C19" s="23">
        <v>111101</v>
      </c>
      <c r="D19" s="23" t="s">
        <v>0</v>
      </c>
      <c r="E19" s="24">
        <v>2003262.2180000001</v>
      </c>
      <c r="F19" s="25">
        <v>2051210000</v>
      </c>
    </row>
    <row r="20" spans="1:6" x14ac:dyDescent="0.2">
      <c r="A20" s="2" t="s">
        <v>122</v>
      </c>
      <c r="B20" s="23" t="s">
        <v>68</v>
      </c>
      <c r="C20" s="23">
        <v>1</v>
      </c>
      <c r="D20" s="23" t="s">
        <v>0</v>
      </c>
      <c r="E20" s="24">
        <v>41981.296000000002</v>
      </c>
      <c r="F20" s="25">
        <v>2051210000</v>
      </c>
    </row>
    <row r="21" spans="1:6" x14ac:dyDescent="0.2">
      <c r="A21" s="2" t="s">
        <v>123</v>
      </c>
      <c r="B21" s="23" t="s">
        <v>69</v>
      </c>
      <c r="C21" s="23" t="s">
        <v>3</v>
      </c>
      <c r="D21" s="23" t="s">
        <v>39</v>
      </c>
      <c r="E21" s="24">
        <v>-2156147.4</v>
      </c>
      <c r="F21" s="25">
        <v>2069010000</v>
      </c>
    </row>
    <row r="22" spans="1:6" x14ac:dyDescent="0.2">
      <c r="A22" s="2" t="s">
        <v>124</v>
      </c>
      <c r="B22" s="23" t="s">
        <v>69</v>
      </c>
      <c r="C22" s="23">
        <v>14</v>
      </c>
      <c r="D22" s="23" t="s">
        <v>40</v>
      </c>
      <c r="E22" s="24">
        <v>-291428.55199999997</v>
      </c>
      <c r="F22" s="25">
        <v>2069010000</v>
      </c>
    </row>
    <row r="23" spans="1:6" x14ac:dyDescent="0.2">
      <c r="A23" s="2" t="s">
        <v>125</v>
      </c>
      <c r="B23" s="23" t="s">
        <v>69</v>
      </c>
      <c r="C23" s="23">
        <v>1037</v>
      </c>
      <c r="D23" s="23" t="s">
        <v>45</v>
      </c>
      <c r="E23" s="24">
        <v>0</v>
      </c>
      <c r="F23" s="25">
        <v>2069010000</v>
      </c>
    </row>
    <row r="24" spans="1:6" x14ac:dyDescent="0.2">
      <c r="A24" s="2" t="s">
        <v>126</v>
      </c>
      <c r="B24" s="23" t="s">
        <v>69</v>
      </c>
      <c r="C24" s="23" t="s">
        <v>4</v>
      </c>
      <c r="D24" s="23" t="s">
        <v>44</v>
      </c>
      <c r="E24" s="24">
        <v>-33736.5</v>
      </c>
      <c r="F24" s="25">
        <v>2069010000</v>
      </c>
    </row>
    <row r="25" spans="1:6" x14ac:dyDescent="0.2">
      <c r="A25" s="2" t="s">
        <v>127</v>
      </c>
      <c r="B25" s="23" t="s">
        <v>69</v>
      </c>
      <c r="C25" s="23">
        <v>1009</v>
      </c>
      <c r="D25" s="23" t="s">
        <v>34</v>
      </c>
      <c r="E25" s="24">
        <v>0</v>
      </c>
      <c r="F25" s="25">
        <v>2069010000</v>
      </c>
    </row>
    <row r="26" spans="1:6" x14ac:dyDescent="0.2">
      <c r="A26" s="2" t="s">
        <v>128</v>
      </c>
      <c r="B26" s="23" t="s">
        <v>69</v>
      </c>
      <c r="C26" s="23">
        <v>1007</v>
      </c>
      <c r="D26" s="23" t="s">
        <v>36</v>
      </c>
      <c r="E26" s="24">
        <v>0</v>
      </c>
      <c r="F26" s="25">
        <v>2069010000</v>
      </c>
    </row>
    <row r="27" spans="1:6" x14ac:dyDescent="0.2">
      <c r="A27" s="2" t="s">
        <v>129</v>
      </c>
      <c r="B27" s="23" t="s">
        <v>69</v>
      </c>
      <c r="C27" s="23">
        <v>1008</v>
      </c>
      <c r="D27" s="23" t="s">
        <v>38</v>
      </c>
      <c r="E27" s="24">
        <v>0</v>
      </c>
      <c r="F27" s="25">
        <v>2069010000</v>
      </c>
    </row>
    <row r="28" spans="1:6" x14ac:dyDescent="0.2">
      <c r="A28" s="2" t="s">
        <v>130</v>
      </c>
      <c r="B28" s="23" t="s">
        <v>69</v>
      </c>
      <c r="C28" s="23">
        <v>1240</v>
      </c>
      <c r="D28" s="23" t="s">
        <v>43</v>
      </c>
      <c r="E28" s="24">
        <v>-199600.4</v>
      </c>
      <c r="F28" s="25">
        <v>2069010000</v>
      </c>
    </row>
    <row r="29" spans="1:6" x14ac:dyDescent="0.2">
      <c r="A29" s="2" t="s">
        <v>131</v>
      </c>
      <c r="B29" s="23" t="s">
        <v>69</v>
      </c>
      <c r="C29" s="23">
        <v>111111</v>
      </c>
      <c r="D29" s="23" t="s">
        <v>94</v>
      </c>
      <c r="E29" s="24">
        <v>-539141.4</v>
      </c>
      <c r="F29" s="25">
        <v>2069010000</v>
      </c>
    </row>
    <row r="30" spans="1:6" x14ac:dyDescent="0.2">
      <c r="A30" s="2" t="s">
        <v>132</v>
      </c>
      <c r="B30" s="23" t="s">
        <v>70</v>
      </c>
      <c r="C30" s="23">
        <v>111111</v>
      </c>
      <c r="D30" s="23" t="s">
        <v>94</v>
      </c>
      <c r="E30" s="24">
        <v>-57.221999999999994</v>
      </c>
      <c r="F30" s="25">
        <v>2069980000</v>
      </c>
    </row>
    <row r="31" spans="1:6" x14ac:dyDescent="0.2">
      <c r="A31" s="2" t="s">
        <v>133</v>
      </c>
      <c r="B31" s="23" t="s">
        <v>71</v>
      </c>
      <c r="C31" s="23">
        <v>111111</v>
      </c>
      <c r="D31" s="23" t="s">
        <v>94</v>
      </c>
      <c r="E31" s="24">
        <v>22314.879999999997</v>
      </c>
      <c r="F31" s="25">
        <v>2070400000</v>
      </c>
    </row>
    <row r="32" spans="1:6" x14ac:dyDescent="0.2">
      <c r="A32" s="2" t="s">
        <v>134</v>
      </c>
      <c r="B32" s="23" t="s">
        <v>72</v>
      </c>
      <c r="C32" s="23">
        <v>88</v>
      </c>
      <c r="D32" s="23" t="s">
        <v>31</v>
      </c>
      <c r="E32" s="24">
        <v>204000</v>
      </c>
      <c r="F32" s="25">
        <v>2070500000</v>
      </c>
    </row>
    <row r="33" spans="1:6" x14ac:dyDescent="0.2">
      <c r="A33" s="2" t="s">
        <v>135</v>
      </c>
      <c r="B33" s="23" t="s">
        <v>72</v>
      </c>
      <c r="C33" s="23">
        <v>111111</v>
      </c>
      <c r="D33" s="23" t="s">
        <v>94</v>
      </c>
      <c r="E33" s="24">
        <v>138.41399999999999</v>
      </c>
      <c r="F33" s="25">
        <v>2070500000</v>
      </c>
    </row>
    <row r="34" spans="1:6" x14ac:dyDescent="0.2">
      <c r="A34" s="2" t="s">
        <v>136</v>
      </c>
      <c r="B34" s="23" t="s">
        <v>73</v>
      </c>
      <c r="C34" s="23">
        <v>111111</v>
      </c>
      <c r="D34" s="23" t="s">
        <v>94</v>
      </c>
      <c r="E34" s="24">
        <v>1127445.872</v>
      </c>
      <c r="F34" s="25">
        <v>2070600000</v>
      </c>
    </row>
    <row r="35" spans="1:6" x14ac:dyDescent="0.2">
      <c r="A35" s="2" t="s">
        <v>137</v>
      </c>
      <c r="B35" s="23" t="s">
        <v>74</v>
      </c>
      <c r="C35" s="23" t="s">
        <v>5</v>
      </c>
      <c r="D35" s="23" t="s">
        <v>41</v>
      </c>
      <c r="E35" s="24">
        <v>133722</v>
      </c>
      <c r="F35" s="25">
        <v>2070900000</v>
      </c>
    </row>
    <row r="36" spans="1:6" x14ac:dyDescent="0.2">
      <c r="A36" s="2" t="s">
        <v>138</v>
      </c>
      <c r="B36" s="23" t="s">
        <v>74</v>
      </c>
      <c r="C36" s="23" t="s">
        <v>6</v>
      </c>
      <c r="D36" s="23" t="s">
        <v>42</v>
      </c>
      <c r="E36" s="24">
        <v>328061.886</v>
      </c>
      <c r="F36" s="25">
        <v>2070900000</v>
      </c>
    </row>
    <row r="37" spans="1:6" x14ac:dyDescent="0.2">
      <c r="A37" s="2" t="s">
        <v>139</v>
      </c>
      <c r="B37" s="23" t="s">
        <v>74</v>
      </c>
      <c r="C37" s="23">
        <v>111111</v>
      </c>
      <c r="D37" s="23" t="s">
        <v>94</v>
      </c>
      <c r="E37" s="24">
        <v>2081304.3219999997</v>
      </c>
      <c r="F37" s="25">
        <v>2070900000</v>
      </c>
    </row>
    <row r="38" spans="1:6" x14ac:dyDescent="0.2">
      <c r="A38" s="2" t="s">
        <v>140</v>
      </c>
      <c r="B38" s="23" t="s">
        <v>7</v>
      </c>
      <c r="C38" s="23">
        <v>111111</v>
      </c>
      <c r="D38" s="23" t="s">
        <v>94</v>
      </c>
      <c r="E38" s="24">
        <v>33410.031999999999</v>
      </c>
      <c r="F38" s="25">
        <v>2071000000</v>
      </c>
    </row>
    <row r="39" spans="1:6" x14ac:dyDescent="0.2">
      <c r="A39" s="2" t="s">
        <v>141</v>
      </c>
      <c r="B39" s="23" t="s">
        <v>75</v>
      </c>
      <c r="C39" s="23">
        <v>111111</v>
      </c>
      <c r="D39" s="23" t="s">
        <v>94</v>
      </c>
      <c r="E39" s="24">
        <v>213090.85199999998</v>
      </c>
      <c r="F39" s="25">
        <v>2071100000</v>
      </c>
    </row>
    <row r="40" spans="1:6" x14ac:dyDescent="0.2">
      <c r="A40" s="2" t="s">
        <v>142</v>
      </c>
      <c r="B40" s="23" t="s">
        <v>8</v>
      </c>
      <c r="C40" s="23">
        <v>111111</v>
      </c>
      <c r="D40" s="23" t="s">
        <v>94</v>
      </c>
      <c r="E40" s="24">
        <v>1813525.004</v>
      </c>
      <c r="F40" s="25">
        <v>2071209200</v>
      </c>
    </row>
    <row r="41" spans="1:6" x14ac:dyDescent="0.2">
      <c r="A41" s="2" t="s">
        <v>143</v>
      </c>
      <c r="B41" s="23" t="s">
        <v>76</v>
      </c>
      <c r="C41" s="23">
        <v>111111</v>
      </c>
      <c r="D41" s="23" t="s">
        <v>94</v>
      </c>
      <c r="E41" s="24">
        <v>5552.2</v>
      </c>
      <c r="F41" s="25">
        <v>2071209400</v>
      </c>
    </row>
    <row r="42" spans="1:6" x14ac:dyDescent="0.2">
      <c r="A42" s="2" t="s">
        <v>144</v>
      </c>
      <c r="B42" s="23" t="s">
        <v>77</v>
      </c>
      <c r="C42" s="23">
        <v>111111</v>
      </c>
      <c r="D42" s="23" t="s">
        <v>94</v>
      </c>
      <c r="E42" s="24">
        <v>43868.975999999995</v>
      </c>
      <c r="F42" s="25">
        <v>2071209500</v>
      </c>
    </row>
    <row r="43" spans="1:6" x14ac:dyDescent="0.2">
      <c r="A43" s="2" t="s">
        <v>145</v>
      </c>
      <c r="B43" s="23" t="s">
        <v>78</v>
      </c>
      <c r="C43" s="23">
        <v>111101</v>
      </c>
      <c r="D43" s="23" t="s">
        <v>0</v>
      </c>
      <c r="E43" s="24">
        <v>10934.671999999999</v>
      </c>
      <c r="F43" s="25">
        <v>2071980000</v>
      </c>
    </row>
    <row r="44" spans="1:6" x14ac:dyDescent="0.2">
      <c r="A44" s="2" t="s">
        <v>146</v>
      </c>
      <c r="B44" s="23" t="s">
        <v>79</v>
      </c>
      <c r="C44" s="23">
        <v>111111</v>
      </c>
      <c r="D44" s="23" t="s">
        <v>94</v>
      </c>
      <c r="E44" s="24">
        <v>20400</v>
      </c>
      <c r="F44" s="25">
        <v>2079022000</v>
      </c>
    </row>
    <row r="45" spans="1:6" x14ac:dyDescent="0.2">
      <c r="A45" s="2" t="s">
        <v>147</v>
      </c>
      <c r="B45" s="23" t="s">
        <v>80</v>
      </c>
      <c r="C45" s="23">
        <v>105</v>
      </c>
      <c r="D45" s="23" t="s">
        <v>32</v>
      </c>
      <c r="E45" s="24">
        <v>0</v>
      </c>
      <c r="F45" s="25">
        <v>2079070000</v>
      </c>
    </row>
    <row r="46" spans="1:6" x14ac:dyDescent="0.2">
      <c r="A46" s="2" t="s">
        <v>148</v>
      </c>
      <c r="B46" s="23" t="s">
        <v>80</v>
      </c>
      <c r="C46" s="23">
        <v>111111</v>
      </c>
      <c r="D46" s="23" t="s">
        <v>94</v>
      </c>
      <c r="E46" s="24">
        <v>563918.152</v>
      </c>
      <c r="F46" s="25">
        <v>2079070000</v>
      </c>
    </row>
    <row r="47" spans="1:6" x14ac:dyDescent="0.2">
      <c r="A47" s="2" t="s">
        <v>149</v>
      </c>
      <c r="B47" s="23" t="s">
        <v>81</v>
      </c>
      <c r="C47" s="23">
        <v>1009</v>
      </c>
      <c r="D47" s="23" t="s">
        <v>34</v>
      </c>
      <c r="E47" s="24">
        <v>0</v>
      </c>
      <c r="F47" s="25">
        <v>2079080000</v>
      </c>
    </row>
    <row r="48" spans="1:6" x14ac:dyDescent="0.2">
      <c r="A48" s="2" t="s">
        <v>150</v>
      </c>
      <c r="B48" s="23" t="s">
        <v>81</v>
      </c>
      <c r="C48" s="23">
        <v>1007</v>
      </c>
      <c r="D48" s="23" t="s">
        <v>36</v>
      </c>
      <c r="E48" s="24">
        <v>0</v>
      </c>
      <c r="F48" s="25">
        <v>2079080000</v>
      </c>
    </row>
    <row r="49" spans="1:6" x14ac:dyDescent="0.2">
      <c r="A49" s="2" t="s">
        <v>151</v>
      </c>
      <c r="B49" s="23" t="s">
        <v>81</v>
      </c>
      <c r="C49" s="23">
        <v>1008</v>
      </c>
      <c r="D49" s="23" t="s">
        <v>38</v>
      </c>
      <c r="E49" s="24">
        <v>0</v>
      </c>
      <c r="F49" s="25">
        <v>2079080000</v>
      </c>
    </row>
    <row r="50" spans="1:6" x14ac:dyDescent="0.2">
      <c r="A50" s="2" t="s">
        <v>152</v>
      </c>
      <c r="B50" s="23" t="s">
        <v>82</v>
      </c>
      <c r="C50" s="23">
        <v>1009</v>
      </c>
      <c r="D50" s="23" t="s">
        <v>34</v>
      </c>
      <c r="E50" s="24">
        <v>0</v>
      </c>
      <c r="F50" s="25">
        <v>2082280000</v>
      </c>
    </row>
    <row r="51" spans="1:6" x14ac:dyDescent="0.2">
      <c r="A51" s="2" t="s">
        <v>153</v>
      </c>
      <c r="B51" s="23" t="s">
        <v>82</v>
      </c>
      <c r="C51" s="23">
        <v>1007</v>
      </c>
      <c r="D51" s="23" t="s">
        <v>36</v>
      </c>
      <c r="E51" s="24">
        <v>0</v>
      </c>
      <c r="F51" s="25">
        <v>2082280000</v>
      </c>
    </row>
    <row r="52" spans="1:6" x14ac:dyDescent="0.2">
      <c r="A52" s="2" t="s">
        <v>154</v>
      </c>
      <c r="B52" s="23" t="s">
        <v>82</v>
      </c>
      <c r="C52" s="23">
        <v>1008</v>
      </c>
      <c r="D52" s="23" t="s">
        <v>38</v>
      </c>
      <c r="E52" s="24">
        <v>0</v>
      </c>
      <c r="F52" s="25">
        <v>2082280000</v>
      </c>
    </row>
    <row r="53" spans="1:6" x14ac:dyDescent="0.2">
      <c r="A53" s="2" t="s">
        <v>155</v>
      </c>
      <c r="B53" s="23" t="s">
        <v>82</v>
      </c>
      <c r="C53" s="23">
        <v>1240</v>
      </c>
      <c r="D53" s="23" t="s">
        <v>43</v>
      </c>
      <c r="E53" s="24">
        <v>-35810.228000000003</v>
      </c>
      <c r="F53" s="25">
        <v>2082280000</v>
      </c>
    </row>
    <row r="54" spans="1:6" x14ac:dyDescent="0.2">
      <c r="A54" s="2" t="s">
        <v>156</v>
      </c>
      <c r="B54" s="23" t="s">
        <v>82</v>
      </c>
      <c r="C54" s="23">
        <v>111111</v>
      </c>
      <c r="D54" s="23" t="s">
        <v>94</v>
      </c>
      <c r="E54" s="24">
        <v>-51927.417999999998</v>
      </c>
      <c r="F54" s="25">
        <v>2082280000</v>
      </c>
    </row>
    <row r="55" spans="1:6" x14ac:dyDescent="0.2">
      <c r="A55" s="2" t="s">
        <v>157</v>
      </c>
      <c r="B55" s="23" t="s">
        <v>9</v>
      </c>
      <c r="C55" s="23">
        <v>111101</v>
      </c>
      <c r="D55" s="23" t="s">
        <v>0</v>
      </c>
      <c r="E55" s="24">
        <v>-862270.63399999996</v>
      </c>
      <c r="F55" s="25">
        <v>2082202000</v>
      </c>
    </row>
    <row r="56" spans="1:6" x14ac:dyDescent="0.2">
      <c r="A56" s="2" t="s">
        <v>158</v>
      </c>
      <c r="B56" s="23" t="s">
        <v>83</v>
      </c>
      <c r="C56" s="23">
        <v>111101</v>
      </c>
      <c r="D56" s="23" t="s">
        <v>0</v>
      </c>
      <c r="E56" s="24">
        <v>22763</v>
      </c>
      <c r="F56" s="25">
        <v>2082208200</v>
      </c>
    </row>
    <row r="57" spans="1:6" x14ac:dyDescent="0.2">
      <c r="A57" s="2" t="s">
        <v>159</v>
      </c>
      <c r="B57" s="23" t="s">
        <v>84</v>
      </c>
      <c r="C57" s="23">
        <v>88</v>
      </c>
      <c r="D57" s="23" t="s">
        <v>31</v>
      </c>
      <c r="E57" s="24">
        <v>2930430.0120000001</v>
      </c>
      <c r="F57" s="25">
        <v>2082214000</v>
      </c>
    </row>
    <row r="58" spans="1:6" x14ac:dyDescent="0.2">
      <c r="A58" s="2" t="s">
        <v>160</v>
      </c>
      <c r="B58" s="23" t="s">
        <v>85</v>
      </c>
      <c r="C58" s="23">
        <v>111101</v>
      </c>
      <c r="D58" s="23" t="s">
        <v>0</v>
      </c>
      <c r="E58" s="24">
        <v>-49378.641999999993</v>
      </c>
      <c r="F58" s="25">
        <v>2091200000</v>
      </c>
    </row>
    <row r="59" spans="1:6" x14ac:dyDescent="0.2">
      <c r="A59" s="2" t="s">
        <v>161</v>
      </c>
      <c r="B59" s="23" t="s">
        <v>86</v>
      </c>
      <c r="C59" s="23">
        <v>111101</v>
      </c>
      <c r="D59" s="23" t="s">
        <v>0</v>
      </c>
      <c r="E59" s="24">
        <v>516250.67</v>
      </c>
      <c r="F59" s="25">
        <v>2091200001</v>
      </c>
    </row>
    <row r="60" spans="1:6" x14ac:dyDescent="0.2">
      <c r="A60" s="2" t="s">
        <v>162</v>
      </c>
      <c r="B60" s="23" t="s">
        <v>87</v>
      </c>
      <c r="C60" s="23">
        <v>111101</v>
      </c>
      <c r="D60" s="23" t="s">
        <v>0</v>
      </c>
      <c r="E60" s="24">
        <v>21593.093999999997</v>
      </c>
      <c r="F60" s="25">
        <v>2092200000</v>
      </c>
    </row>
    <row r="61" spans="1:6" x14ac:dyDescent="0.2">
      <c r="A61" s="2" t="s">
        <v>163</v>
      </c>
      <c r="B61" s="26" t="s">
        <v>60</v>
      </c>
      <c r="C61" s="26">
        <v>111101</v>
      </c>
      <c r="D61" s="26" t="s">
        <v>0</v>
      </c>
      <c r="E61" s="27">
        <v>-2904117.9939999986</v>
      </c>
      <c r="F61" s="28">
        <v>2999999999</v>
      </c>
    </row>
    <row r="62" spans="1:6" x14ac:dyDescent="0.2">
      <c r="C62" s="5"/>
      <c r="F62" s="4"/>
    </row>
    <row r="63" spans="1:6" x14ac:dyDescent="0.2">
      <c r="C63" s="5"/>
      <c r="F63" s="4"/>
    </row>
    <row r="64" spans="1:6" x14ac:dyDescent="0.2">
      <c r="C64" s="5"/>
      <c r="F64" s="4"/>
    </row>
    <row r="65" spans="3:6" x14ac:dyDescent="0.2">
      <c r="C65" s="5"/>
      <c r="F65" s="4"/>
    </row>
    <row r="66" spans="3:6" x14ac:dyDescent="0.2">
      <c r="C66" s="5"/>
      <c r="F66" s="4"/>
    </row>
    <row r="67" spans="3:6" x14ac:dyDescent="0.2">
      <c r="C67" s="5"/>
      <c r="F67" s="4"/>
    </row>
    <row r="68" spans="3:6" x14ac:dyDescent="0.2">
      <c r="C68" s="5"/>
      <c r="F68" s="4"/>
    </row>
    <row r="69" spans="3:6" x14ac:dyDescent="0.2">
      <c r="C69" s="5"/>
      <c r="F69" s="4"/>
    </row>
    <row r="70" spans="3:6" x14ac:dyDescent="0.2">
      <c r="C70" s="5"/>
      <c r="F70" s="4"/>
    </row>
    <row r="71" spans="3:6" x14ac:dyDescent="0.2">
      <c r="C71" s="5"/>
      <c r="F71" s="4"/>
    </row>
    <row r="72" spans="3:6" x14ac:dyDescent="0.2">
      <c r="C72" s="5"/>
      <c r="F72" s="4"/>
    </row>
    <row r="73" spans="3:6" x14ac:dyDescent="0.2">
      <c r="C73" s="5"/>
      <c r="F73" s="4"/>
    </row>
    <row r="74" spans="3:6" x14ac:dyDescent="0.2">
      <c r="C74" s="5"/>
      <c r="F74" s="4"/>
    </row>
    <row r="75" spans="3:6" x14ac:dyDescent="0.2">
      <c r="C75" s="5"/>
      <c r="F75" s="4"/>
    </row>
    <row r="76" spans="3:6" x14ac:dyDescent="0.2">
      <c r="C76" s="5"/>
      <c r="F76" s="4"/>
    </row>
    <row r="77" spans="3:6" x14ac:dyDescent="0.2">
      <c r="C77" s="5"/>
      <c r="F77" s="4"/>
    </row>
    <row r="78" spans="3:6" x14ac:dyDescent="0.2">
      <c r="C78" s="5"/>
      <c r="F78" s="4"/>
    </row>
    <row r="79" spans="3:6" x14ac:dyDescent="0.2">
      <c r="C79" s="5"/>
      <c r="F79" s="4"/>
    </row>
    <row r="80" spans="3:6" x14ac:dyDescent="0.2">
      <c r="C80" s="5"/>
      <c r="F80" s="4"/>
    </row>
    <row r="81" spans="3:6" x14ac:dyDescent="0.2">
      <c r="C81" s="5"/>
      <c r="F81" s="4"/>
    </row>
    <row r="82" spans="3:6" x14ac:dyDescent="0.2">
      <c r="C82" s="5"/>
      <c r="F82" s="4"/>
    </row>
    <row r="83" spans="3:6" x14ac:dyDescent="0.2">
      <c r="C83" s="5"/>
      <c r="F83" s="4"/>
    </row>
    <row r="84" spans="3:6" x14ac:dyDescent="0.2">
      <c r="C84" s="5"/>
      <c r="F84" s="4"/>
    </row>
    <row r="85" spans="3:6" x14ac:dyDescent="0.2">
      <c r="C85" s="5"/>
      <c r="F85" s="4"/>
    </row>
    <row r="86" spans="3:6" x14ac:dyDescent="0.2">
      <c r="C86" s="5"/>
      <c r="F86" s="4"/>
    </row>
    <row r="87" spans="3:6" x14ac:dyDescent="0.2">
      <c r="C87" s="5"/>
      <c r="F87" s="4"/>
    </row>
    <row r="88" spans="3:6" x14ac:dyDescent="0.2">
      <c r="C88" s="5"/>
      <c r="F88" s="4"/>
    </row>
    <row r="89" spans="3:6" x14ac:dyDescent="0.2">
      <c r="C89" s="5"/>
      <c r="F89" s="4"/>
    </row>
    <row r="90" spans="3:6" x14ac:dyDescent="0.2">
      <c r="C90" s="5"/>
      <c r="F90" s="4"/>
    </row>
    <row r="91" spans="3:6" x14ac:dyDescent="0.2">
      <c r="C91" s="5"/>
      <c r="F91" s="4"/>
    </row>
    <row r="92" spans="3:6" x14ac:dyDescent="0.2">
      <c r="C92" s="5"/>
      <c r="F92" s="4"/>
    </row>
    <row r="93" spans="3:6" x14ac:dyDescent="0.2">
      <c r="C93" s="5"/>
      <c r="F93" s="4"/>
    </row>
    <row r="94" spans="3:6" x14ac:dyDescent="0.2">
      <c r="C94" s="5"/>
      <c r="F94" s="4"/>
    </row>
    <row r="95" spans="3:6" x14ac:dyDescent="0.2">
      <c r="C95" s="5"/>
      <c r="F95" s="4"/>
    </row>
    <row r="96" spans="3:6" x14ac:dyDescent="0.2">
      <c r="C96" s="5"/>
      <c r="F96" s="4"/>
    </row>
  </sheetData>
  <autoFilter ref="B4:F61" xr:uid="{00000000-0001-0000-0300-000000000000}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129"/>
  <sheetViews>
    <sheetView topLeftCell="A49" zoomScaleNormal="100" workbookViewId="0">
      <selection activeCell="B86" sqref="B86"/>
    </sheetView>
  </sheetViews>
  <sheetFormatPr defaultColWidth="9.140625" defaultRowHeight="12" x14ac:dyDescent="0.2"/>
  <cols>
    <col min="1" max="1" width="17.28515625" style="2" bestFit="1" customWidth="1"/>
    <col min="2" max="2" width="29.7109375" style="2" bestFit="1" customWidth="1"/>
    <col min="3" max="3" width="18.42578125" style="2" bestFit="1" customWidth="1"/>
    <col min="4" max="4" width="26.7109375" style="2" bestFit="1" customWidth="1"/>
    <col min="5" max="5" width="11.5703125" style="2" bestFit="1" customWidth="1"/>
    <col min="6" max="6" width="18" style="2" bestFit="1" customWidth="1"/>
    <col min="7" max="7" width="17.28515625" style="2" bestFit="1" customWidth="1"/>
    <col min="8" max="16384" width="9.140625" style="2"/>
  </cols>
  <sheetData>
    <row r="1" spans="1:7" ht="15.75" x14ac:dyDescent="0.25">
      <c r="B1" s="3" t="s">
        <v>104</v>
      </c>
    </row>
    <row r="4" spans="1:7" ht="15" x14ac:dyDescent="0.2">
      <c r="A4" s="22" t="s">
        <v>106</v>
      </c>
      <c r="B4" s="22" t="s">
        <v>90</v>
      </c>
      <c r="C4" s="22" t="s">
        <v>30</v>
      </c>
      <c r="D4" s="22" t="s">
        <v>91</v>
      </c>
      <c r="E4" s="22" t="s">
        <v>92</v>
      </c>
      <c r="F4" s="22" t="s">
        <v>93</v>
      </c>
      <c r="G4" s="22" t="s">
        <v>106</v>
      </c>
    </row>
    <row r="5" spans="1:7" x14ac:dyDescent="0.2">
      <c r="A5" s="2" t="s">
        <v>165</v>
      </c>
      <c r="B5" s="5" t="s">
        <v>61</v>
      </c>
      <c r="C5" s="5">
        <v>105</v>
      </c>
      <c r="D5" s="5" t="s">
        <v>32</v>
      </c>
      <c r="E5" s="15">
        <v>-355396.61499999999</v>
      </c>
      <c r="F5" s="5">
        <v>2001110000</v>
      </c>
      <c r="G5" s="2" t="s">
        <v>165</v>
      </c>
    </row>
    <row r="6" spans="1:7" x14ac:dyDescent="0.2">
      <c r="A6" s="2" t="s">
        <v>107</v>
      </c>
      <c r="B6" s="5" t="s">
        <v>61</v>
      </c>
      <c r="C6" s="5">
        <v>111111</v>
      </c>
      <c r="D6" s="5" t="s">
        <v>94</v>
      </c>
      <c r="E6" s="15">
        <v>-15792898.75</v>
      </c>
      <c r="F6" s="5">
        <v>2001110000</v>
      </c>
      <c r="G6" s="2" t="s">
        <v>107</v>
      </c>
    </row>
    <row r="7" spans="1:7" x14ac:dyDescent="0.2">
      <c r="A7" s="2" t="s">
        <v>108</v>
      </c>
      <c r="B7" s="5" t="s">
        <v>62</v>
      </c>
      <c r="C7" s="5">
        <v>111111</v>
      </c>
      <c r="D7" s="5" t="s">
        <v>94</v>
      </c>
      <c r="E7" s="15">
        <v>-6960217.6449999996</v>
      </c>
      <c r="F7" s="5">
        <v>2001190000</v>
      </c>
      <c r="G7" s="2" t="s">
        <v>108</v>
      </c>
    </row>
    <row r="8" spans="1:7" x14ac:dyDescent="0.2">
      <c r="A8" s="2" t="s">
        <v>166</v>
      </c>
      <c r="B8" s="5" t="s">
        <v>63</v>
      </c>
      <c r="C8" s="5" t="s">
        <v>10</v>
      </c>
      <c r="D8" s="5" t="s">
        <v>46</v>
      </c>
      <c r="E8" s="15">
        <v>-420017.14999999997</v>
      </c>
      <c r="F8" s="5">
        <v>2020000000</v>
      </c>
      <c r="G8" s="2" t="s">
        <v>166</v>
      </c>
    </row>
    <row r="9" spans="1:7" x14ac:dyDescent="0.2">
      <c r="A9" s="2" t="s">
        <v>110</v>
      </c>
      <c r="B9" s="5" t="s">
        <v>63</v>
      </c>
      <c r="C9" s="5">
        <v>1007</v>
      </c>
      <c r="D9" s="5" t="s">
        <v>36</v>
      </c>
      <c r="E9" s="15">
        <v>-89234.880000000005</v>
      </c>
      <c r="F9" s="5">
        <v>2020000000</v>
      </c>
      <c r="G9" s="2" t="s">
        <v>110</v>
      </c>
    </row>
    <row r="10" spans="1:7" x14ac:dyDescent="0.2">
      <c r="A10" s="2" t="s">
        <v>111</v>
      </c>
      <c r="B10" s="5" t="s">
        <v>63</v>
      </c>
      <c r="C10" s="5">
        <v>1008</v>
      </c>
      <c r="D10" s="5" t="s">
        <v>38</v>
      </c>
      <c r="E10" s="15">
        <v>-26173</v>
      </c>
      <c r="F10" s="5">
        <v>2020000000</v>
      </c>
      <c r="G10" s="2" t="s">
        <v>111</v>
      </c>
    </row>
    <row r="11" spans="1:7" x14ac:dyDescent="0.2">
      <c r="A11" s="2" t="s">
        <v>112</v>
      </c>
      <c r="B11" s="5" t="s">
        <v>63</v>
      </c>
      <c r="C11" s="5">
        <v>111101</v>
      </c>
      <c r="D11" s="5" t="s">
        <v>0</v>
      </c>
      <c r="E11" s="15">
        <v>-209401.92</v>
      </c>
      <c r="F11" s="5">
        <v>2020000000</v>
      </c>
      <c r="G11" s="2" t="s">
        <v>112</v>
      </c>
    </row>
    <row r="12" spans="1:7" x14ac:dyDescent="0.2">
      <c r="A12" s="2" t="s">
        <v>167</v>
      </c>
      <c r="B12" s="5" t="s">
        <v>96</v>
      </c>
      <c r="C12" s="5">
        <v>111111</v>
      </c>
      <c r="D12" s="5" t="s">
        <v>94</v>
      </c>
      <c r="E12" s="15">
        <v>14589.33</v>
      </c>
      <c r="F12" s="5">
        <v>2021210000</v>
      </c>
      <c r="G12" s="2" t="s">
        <v>167</v>
      </c>
    </row>
    <row r="13" spans="1:7" x14ac:dyDescent="0.2">
      <c r="A13" s="2" t="s">
        <v>113</v>
      </c>
      <c r="B13" s="5" t="s">
        <v>95</v>
      </c>
      <c r="C13" s="5">
        <v>111111</v>
      </c>
      <c r="D13" s="5" t="s">
        <v>94</v>
      </c>
      <c r="E13" s="15">
        <v>5463188.8250000002</v>
      </c>
      <c r="F13" s="5">
        <v>2021900000</v>
      </c>
      <c r="G13" s="2" t="s">
        <v>113</v>
      </c>
    </row>
    <row r="14" spans="1:7" x14ac:dyDescent="0.2">
      <c r="A14" s="2" t="s">
        <v>114</v>
      </c>
      <c r="B14" s="5" t="s">
        <v>65</v>
      </c>
      <c r="C14" s="5">
        <v>111111</v>
      </c>
      <c r="D14" s="5" t="s">
        <v>94</v>
      </c>
      <c r="E14" s="15">
        <v>343675</v>
      </c>
      <c r="F14" s="5">
        <v>2024080000</v>
      </c>
      <c r="G14" s="2" t="s">
        <v>114</v>
      </c>
    </row>
    <row r="15" spans="1:7" x14ac:dyDescent="0.2">
      <c r="A15" s="2" t="s">
        <v>168</v>
      </c>
      <c r="B15" s="5" t="s">
        <v>64</v>
      </c>
      <c r="C15" s="5">
        <v>19</v>
      </c>
      <c r="D15" s="5" t="s">
        <v>40</v>
      </c>
      <c r="E15" s="15">
        <v>38521</v>
      </c>
      <c r="F15" s="5">
        <v>2024090000</v>
      </c>
      <c r="G15" s="2" t="s">
        <v>168</v>
      </c>
    </row>
    <row r="16" spans="1:7" x14ac:dyDescent="0.2">
      <c r="A16" s="2" t="s">
        <v>115</v>
      </c>
      <c r="B16" s="5" t="s">
        <v>64</v>
      </c>
      <c r="C16" s="5">
        <v>88</v>
      </c>
      <c r="D16" s="5" t="s">
        <v>31</v>
      </c>
      <c r="E16" s="15">
        <v>1980162.23</v>
      </c>
      <c r="F16" s="5">
        <v>2024090000</v>
      </c>
      <c r="G16" s="2" t="s">
        <v>115</v>
      </c>
    </row>
    <row r="17" spans="1:7" x14ac:dyDescent="0.2">
      <c r="A17" s="2" t="s">
        <v>169</v>
      </c>
      <c r="B17" s="5" t="s">
        <v>64</v>
      </c>
      <c r="C17" s="5" t="s">
        <v>11</v>
      </c>
      <c r="D17" s="5" t="s">
        <v>33</v>
      </c>
      <c r="E17" s="15">
        <v>1820</v>
      </c>
      <c r="F17" s="5">
        <v>2024090000</v>
      </c>
      <c r="G17" s="2" t="s">
        <v>169</v>
      </c>
    </row>
    <row r="18" spans="1:7" x14ac:dyDescent="0.2">
      <c r="A18" s="2" t="s">
        <v>170</v>
      </c>
      <c r="B18" s="5" t="s">
        <v>64</v>
      </c>
      <c r="C18" s="5" t="s">
        <v>12</v>
      </c>
      <c r="D18" s="5" t="s">
        <v>35</v>
      </c>
      <c r="E18" s="15">
        <v>10448.129999999999</v>
      </c>
      <c r="F18" s="5">
        <v>2024090000</v>
      </c>
      <c r="G18" s="2" t="s">
        <v>170</v>
      </c>
    </row>
    <row r="19" spans="1:7" x14ac:dyDescent="0.2">
      <c r="A19" s="2" t="s">
        <v>171</v>
      </c>
      <c r="B19" s="5" t="s">
        <v>64</v>
      </c>
      <c r="C19" s="5" t="s">
        <v>13</v>
      </c>
      <c r="D19" s="5" t="s">
        <v>48</v>
      </c>
      <c r="E19" s="15">
        <v>10412.5</v>
      </c>
      <c r="F19" s="5">
        <v>2024090000</v>
      </c>
      <c r="G19" s="2" t="s">
        <v>171</v>
      </c>
    </row>
    <row r="20" spans="1:7" x14ac:dyDescent="0.2">
      <c r="A20" s="2" t="s">
        <v>116</v>
      </c>
      <c r="B20" s="5" t="s">
        <v>64</v>
      </c>
      <c r="C20" s="5">
        <v>111111</v>
      </c>
      <c r="D20" s="5" t="s">
        <v>94</v>
      </c>
      <c r="E20" s="15">
        <v>27148.625</v>
      </c>
      <c r="F20" s="5">
        <v>2024090000</v>
      </c>
      <c r="G20" s="2" t="s">
        <v>116</v>
      </c>
    </row>
    <row r="21" spans="1:7" x14ac:dyDescent="0.2">
      <c r="A21" s="2" t="s">
        <v>117</v>
      </c>
      <c r="B21" s="5" t="s">
        <v>1</v>
      </c>
      <c r="C21" s="5">
        <v>111111</v>
      </c>
      <c r="D21" s="5" t="s">
        <v>94</v>
      </c>
      <c r="E21" s="15">
        <v>5507141.0549999997</v>
      </c>
      <c r="F21" s="5">
        <v>2041000000</v>
      </c>
      <c r="G21" s="2" t="s">
        <v>117</v>
      </c>
    </row>
    <row r="22" spans="1:7" x14ac:dyDescent="0.2">
      <c r="A22" s="2" t="s">
        <v>118</v>
      </c>
      <c r="B22" s="5" t="s">
        <v>2</v>
      </c>
      <c r="C22" s="5">
        <v>111101</v>
      </c>
      <c r="D22" s="5" t="s">
        <v>0</v>
      </c>
      <c r="E22" s="15">
        <v>1752994.18</v>
      </c>
      <c r="F22" s="5">
        <v>2042000000</v>
      </c>
      <c r="G22" s="2" t="s">
        <v>118</v>
      </c>
    </row>
    <row r="23" spans="1:7" x14ac:dyDescent="0.2">
      <c r="A23" s="2" t="s">
        <v>118</v>
      </c>
      <c r="B23" s="5" t="s">
        <v>66</v>
      </c>
      <c r="C23" s="5">
        <v>111101</v>
      </c>
      <c r="D23" s="5" t="s">
        <v>0</v>
      </c>
      <c r="E23" s="15">
        <v>304303.86000000004</v>
      </c>
      <c r="F23" s="5">
        <v>2042000000</v>
      </c>
      <c r="G23" s="2" t="s">
        <v>118</v>
      </c>
    </row>
    <row r="24" spans="1:7" x14ac:dyDescent="0.2">
      <c r="A24" s="2" t="s">
        <v>120</v>
      </c>
      <c r="B24" s="5" t="s">
        <v>67</v>
      </c>
      <c r="C24" s="5">
        <v>111101</v>
      </c>
      <c r="D24" s="5" t="s">
        <v>0</v>
      </c>
      <c r="E24" s="15">
        <v>500500</v>
      </c>
      <c r="F24" s="5">
        <v>2045000000</v>
      </c>
      <c r="G24" s="2" t="s">
        <v>120</v>
      </c>
    </row>
    <row r="25" spans="1:7" x14ac:dyDescent="0.2">
      <c r="A25" s="2" t="s">
        <v>172</v>
      </c>
      <c r="B25" s="5" t="s">
        <v>14</v>
      </c>
      <c r="C25" s="5">
        <v>111101</v>
      </c>
      <c r="D25" s="5" t="s">
        <v>0</v>
      </c>
      <c r="E25" s="15">
        <v>6919.8499999999995</v>
      </c>
      <c r="F25" s="5">
        <v>2049000000</v>
      </c>
      <c r="G25" s="2" t="s">
        <v>172</v>
      </c>
    </row>
    <row r="26" spans="1:7" x14ac:dyDescent="0.2">
      <c r="A26" s="2" t="s">
        <v>121</v>
      </c>
      <c r="B26" s="5" t="s">
        <v>68</v>
      </c>
      <c r="C26" s="5">
        <v>111101</v>
      </c>
      <c r="D26" s="5" t="s">
        <v>0</v>
      </c>
      <c r="E26" s="15">
        <v>1897676.87</v>
      </c>
      <c r="F26" s="5">
        <v>2051210000</v>
      </c>
      <c r="G26" s="2" t="s">
        <v>121</v>
      </c>
    </row>
    <row r="27" spans="1:7" x14ac:dyDescent="0.2">
      <c r="A27" s="2" t="s">
        <v>173</v>
      </c>
      <c r="B27" s="5" t="s">
        <v>68</v>
      </c>
      <c r="C27" s="5">
        <v>111101</v>
      </c>
      <c r="D27" s="5" t="s">
        <v>0</v>
      </c>
      <c r="E27" s="15">
        <v>146328.94499999998</v>
      </c>
      <c r="F27" s="5">
        <v>2051260000</v>
      </c>
      <c r="G27" s="2" t="s">
        <v>173</v>
      </c>
    </row>
    <row r="28" spans="1:7" x14ac:dyDescent="0.2">
      <c r="A28" s="2" t="s">
        <v>174</v>
      </c>
      <c r="B28" s="5" t="s">
        <v>15</v>
      </c>
      <c r="C28" s="5">
        <v>111111</v>
      </c>
      <c r="D28" s="5" t="s">
        <v>94</v>
      </c>
      <c r="E28" s="15">
        <v>-121553.07499999998</v>
      </c>
      <c r="F28" s="5">
        <v>2060220000</v>
      </c>
      <c r="G28" s="2" t="s">
        <v>174</v>
      </c>
    </row>
    <row r="29" spans="1:7" x14ac:dyDescent="0.2">
      <c r="A29" s="2" t="s">
        <v>123</v>
      </c>
      <c r="B29" s="5" t="s">
        <v>69</v>
      </c>
      <c r="C29" s="5" t="s">
        <v>3</v>
      </c>
      <c r="D29" s="5" t="s">
        <v>39</v>
      </c>
      <c r="E29" s="15">
        <v>-1643711.145</v>
      </c>
      <c r="F29" s="5">
        <v>2069010000</v>
      </c>
      <c r="G29" s="2" t="s">
        <v>123</v>
      </c>
    </row>
    <row r="30" spans="1:7" x14ac:dyDescent="0.2">
      <c r="A30" s="2" t="s">
        <v>175</v>
      </c>
      <c r="B30" s="5" t="s">
        <v>69</v>
      </c>
      <c r="C30" s="5">
        <v>19</v>
      </c>
      <c r="D30" s="5" t="s">
        <v>40</v>
      </c>
      <c r="E30" s="15">
        <v>-416278.66</v>
      </c>
      <c r="F30" s="5">
        <v>2069010000</v>
      </c>
      <c r="G30" s="2" t="s">
        <v>175</v>
      </c>
    </row>
    <row r="31" spans="1:7" x14ac:dyDescent="0.2">
      <c r="A31" s="2" t="s">
        <v>176</v>
      </c>
      <c r="B31" s="5" t="s">
        <v>69</v>
      </c>
      <c r="C31" s="5" t="s">
        <v>16</v>
      </c>
      <c r="D31" s="5" t="s">
        <v>50</v>
      </c>
      <c r="E31" s="15">
        <v>-364243.84499999997</v>
      </c>
      <c r="F31" s="5">
        <v>2069010000</v>
      </c>
      <c r="G31" s="2" t="s">
        <v>176</v>
      </c>
    </row>
    <row r="32" spans="1:7" x14ac:dyDescent="0.2">
      <c r="A32" s="2" t="s">
        <v>177</v>
      </c>
      <c r="B32" s="5" t="s">
        <v>69</v>
      </c>
      <c r="C32" s="5" t="s">
        <v>10</v>
      </c>
      <c r="D32" s="5" t="s">
        <v>46</v>
      </c>
      <c r="E32" s="15">
        <v>0</v>
      </c>
      <c r="F32" s="5">
        <v>2069010000</v>
      </c>
      <c r="G32" s="2" t="s">
        <v>177</v>
      </c>
    </row>
    <row r="33" spans="1:7" x14ac:dyDescent="0.2">
      <c r="A33" s="2" t="s">
        <v>127</v>
      </c>
      <c r="B33" s="5" t="s">
        <v>69</v>
      </c>
      <c r="C33" s="5">
        <v>1009</v>
      </c>
      <c r="D33" s="5" t="s">
        <v>34</v>
      </c>
      <c r="E33" s="15">
        <v>0</v>
      </c>
      <c r="F33" s="5">
        <v>2069010000</v>
      </c>
      <c r="G33" s="2" t="s">
        <v>127</v>
      </c>
    </row>
    <row r="34" spans="1:7" x14ac:dyDescent="0.2">
      <c r="A34" s="2" t="s">
        <v>128</v>
      </c>
      <c r="B34" s="5" t="s">
        <v>69</v>
      </c>
      <c r="C34" s="5">
        <v>1007</v>
      </c>
      <c r="D34" s="5" t="s">
        <v>36</v>
      </c>
      <c r="E34" s="15">
        <v>0</v>
      </c>
      <c r="F34" s="5">
        <v>2069010000</v>
      </c>
      <c r="G34" s="2" t="s">
        <v>128</v>
      </c>
    </row>
    <row r="35" spans="1:7" x14ac:dyDescent="0.2">
      <c r="A35" s="2" t="s">
        <v>129</v>
      </c>
      <c r="B35" s="5" t="s">
        <v>69</v>
      </c>
      <c r="C35" s="5">
        <v>1008</v>
      </c>
      <c r="D35" s="5" t="s">
        <v>38</v>
      </c>
      <c r="E35" s="15">
        <v>0</v>
      </c>
      <c r="F35" s="5">
        <v>2069010000</v>
      </c>
      <c r="G35" s="2" t="s">
        <v>129</v>
      </c>
    </row>
    <row r="36" spans="1:7" x14ac:dyDescent="0.2">
      <c r="A36" s="2" t="s">
        <v>130</v>
      </c>
      <c r="B36" s="5" t="s">
        <v>69</v>
      </c>
      <c r="C36" s="5">
        <v>1240</v>
      </c>
      <c r="D36" s="5" t="s">
        <v>43</v>
      </c>
      <c r="E36" s="15">
        <v>-10461.36</v>
      </c>
      <c r="F36" s="5">
        <v>2069010000</v>
      </c>
      <c r="G36" s="2" t="s">
        <v>130</v>
      </c>
    </row>
    <row r="37" spans="1:7" x14ac:dyDescent="0.2">
      <c r="A37" s="2" t="s">
        <v>128</v>
      </c>
      <c r="B37" s="5" t="s">
        <v>69</v>
      </c>
      <c r="C37" s="5">
        <v>1007</v>
      </c>
      <c r="D37" s="5" t="s">
        <v>37</v>
      </c>
      <c r="E37" s="15">
        <v>0</v>
      </c>
      <c r="F37" s="5">
        <v>2069010000</v>
      </c>
      <c r="G37" s="2" t="s">
        <v>128</v>
      </c>
    </row>
    <row r="38" spans="1:7" x14ac:dyDescent="0.2">
      <c r="A38" s="2" t="s">
        <v>178</v>
      </c>
      <c r="B38" s="5" t="s">
        <v>69</v>
      </c>
      <c r="C38" s="5" t="s">
        <v>17</v>
      </c>
      <c r="D38" s="5" t="s">
        <v>51</v>
      </c>
      <c r="E38" s="15">
        <v>-482611.04499999998</v>
      </c>
      <c r="F38" s="5">
        <v>2069010000</v>
      </c>
      <c r="G38" s="2" t="s">
        <v>178</v>
      </c>
    </row>
    <row r="39" spans="1:7" x14ac:dyDescent="0.2">
      <c r="A39" s="2" t="s">
        <v>131</v>
      </c>
      <c r="B39" s="5" t="s">
        <v>69</v>
      </c>
      <c r="C39" s="5">
        <v>111111</v>
      </c>
      <c r="D39" s="5" t="s">
        <v>94</v>
      </c>
      <c r="E39" s="15">
        <v>-6785.94</v>
      </c>
      <c r="F39" s="5">
        <v>2069010000</v>
      </c>
      <c r="G39" s="2" t="s">
        <v>131</v>
      </c>
    </row>
    <row r="40" spans="1:7" x14ac:dyDescent="0.2">
      <c r="A40" s="2" t="s">
        <v>179</v>
      </c>
      <c r="B40" s="5" t="s">
        <v>70</v>
      </c>
      <c r="C40" s="5">
        <v>88</v>
      </c>
      <c r="D40" s="5" t="s">
        <v>31</v>
      </c>
      <c r="E40" s="15">
        <v>-2436.35</v>
      </c>
      <c r="F40" s="5">
        <v>2069980000</v>
      </c>
      <c r="G40" s="2" t="s">
        <v>179</v>
      </c>
    </row>
    <row r="41" spans="1:7" x14ac:dyDescent="0.2">
      <c r="A41" s="2" t="s">
        <v>132</v>
      </c>
      <c r="B41" s="5" t="s">
        <v>70</v>
      </c>
      <c r="C41" s="5">
        <v>111111</v>
      </c>
      <c r="D41" s="5" t="s">
        <v>94</v>
      </c>
      <c r="E41" s="15">
        <v>9793.84</v>
      </c>
      <c r="F41" s="5">
        <v>2069980000</v>
      </c>
      <c r="G41" s="2" t="s">
        <v>132</v>
      </c>
    </row>
    <row r="42" spans="1:7" x14ac:dyDescent="0.2">
      <c r="A42" s="2" t="s">
        <v>180</v>
      </c>
      <c r="B42" s="5" t="s">
        <v>18</v>
      </c>
      <c r="C42" s="5">
        <v>111101</v>
      </c>
      <c r="D42" s="5" t="s">
        <v>0</v>
      </c>
      <c r="E42" s="15">
        <v>81.339999999999989</v>
      </c>
      <c r="F42" s="5">
        <v>2070290000</v>
      </c>
      <c r="G42" s="2" t="s">
        <v>180</v>
      </c>
    </row>
    <row r="43" spans="1:7" x14ac:dyDescent="0.2">
      <c r="A43" s="2" t="s">
        <v>133</v>
      </c>
      <c r="B43" s="5" t="s">
        <v>71</v>
      </c>
      <c r="C43" s="5">
        <v>111111</v>
      </c>
      <c r="D43" s="5" t="s">
        <v>94</v>
      </c>
      <c r="E43" s="15">
        <v>65947.7</v>
      </c>
      <c r="F43" s="5">
        <v>2070400000</v>
      </c>
      <c r="G43" s="2" t="s">
        <v>133</v>
      </c>
    </row>
    <row r="44" spans="1:7" x14ac:dyDescent="0.2">
      <c r="A44" s="2" t="s">
        <v>135</v>
      </c>
      <c r="B44" s="5" t="s">
        <v>72</v>
      </c>
      <c r="C44" s="5">
        <v>111111</v>
      </c>
      <c r="D44" s="5" t="s">
        <v>94</v>
      </c>
      <c r="E44" s="15">
        <v>5138.91</v>
      </c>
      <c r="F44" s="5">
        <v>2070500000</v>
      </c>
      <c r="G44" s="2" t="s">
        <v>135</v>
      </c>
    </row>
    <row r="45" spans="1:7" x14ac:dyDescent="0.2">
      <c r="A45" s="2" t="s">
        <v>136</v>
      </c>
      <c r="B45" s="5" t="s">
        <v>73</v>
      </c>
      <c r="C45" s="5">
        <v>111111</v>
      </c>
      <c r="D45" s="5" t="s">
        <v>94</v>
      </c>
      <c r="E45" s="15">
        <v>1055381.4750000001</v>
      </c>
      <c r="F45" s="5">
        <v>2070600000</v>
      </c>
      <c r="G45" s="2" t="s">
        <v>136</v>
      </c>
    </row>
    <row r="46" spans="1:7" x14ac:dyDescent="0.2">
      <c r="A46" s="2" t="s">
        <v>138</v>
      </c>
      <c r="B46" s="5" t="s">
        <v>74</v>
      </c>
      <c r="C46" s="5" t="s">
        <v>6</v>
      </c>
      <c r="D46" s="5" t="s">
        <v>42</v>
      </c>
      <c r="E46" s="15">
        <v>430845.34499999997</v>
      </c>
      <c r="F46" s="5">
        <v>2070900000</v>
      </c>
      <c r="G46" s="2" t="s">
        <v>138</v>
      </c>
    </row>
    <row r="47" spans="1:7" x14ac:dyDescent="0.2">
      <c r="A47" s="2" t="s">
        <v>181</v>
      </c>
      <c r="B47" s="5" t="s">
        <v>74</v>
      </c>
      <c r="C47" s="5">
        <v>105</v>
      </c>
      <c r="D47" s="5" t="s">
        <v>32</v>
      </c>
      <c r="E47" s="15">
        <v>276920</v>
      </c>
      <c r="F47" s="5">
        <v>2070900000</v>
      </c>
      <c r="G47" s="2" t="s">
        <v>181</v>
      </c>
    </row>
    <row r="48" spans="1:7" x14ac:dyDescent="0.2">
      <c r="A48" s="2" t="s">
        <v>139</v>
      </c>
      <c r="B48" s="5" t="s">
        <v>74</v>
      </c>
      <c r="C48" s="5">
        <v>111111</v>
      </c>
      <c r="D48" s="5" t="s">
        <v>94</v>
      </c>
      <c r="E48" s="15">
        <v>1130021</v>
      </c>
      <c r="F48" s="5">
        <v>2070900000</v>
      </c>
      <c r="G48" s="2" t="s">
        <v>139</v>
      </c>
    </row>
    <row r="49" spans="1:7" x14ac:dyDescent="0.2">
      <c r="A49" s="2" t="s">
        <v>140</v>
      </c>
      <c r="B49" s="5" t="s">
        <v>7</v>
      </c>
      <c r="C49" s="5">
        <v>111111</v>
      </c>
      <c r="D49" s="5" t="s">
        <v>94</v>
      </c>
      <c r="E49" s="15">
        <v>7293.5450000000001</v>
      </c>
      <c r="F49" s="5">
        <v>2071000000</v>
      </c>
      <c r="G49" s="2" t="s">
        <v>140</v>
      </c>
    </row>
    <row r="50" spans="1:7" x14ac:dyDescent="0.2">
      <c r="A50" s="2" t="s">
        <v>182</v>
      </c>
      <c r="B50" s="5" t="s">
        <v>75</v>
      </c>
      <c r="C50" s="5">
        <v>1900</v>
      </c>
      <c r="D50" s="5" t="s">
        <v>52</v>
      </c>
      <c r="E50" s="15">
        <v>0</v>
      </c>
      <c r="F50" s="5">
        <v>2071100000</v>
      </c>
      <c r="G50" s="2" t="s">
        <v>182</v>
      </c>
    </row>
    <row r="51" spans="1:7" x14ac:dyDescent="0.2">
      <c r="A51" s="2" t="s">
        <v>141</v>
      </c>
      <c r="B51" s="5" t="s">
        <v>75</v>
      </c>
      <c r="C51" s="5">
        <v>111111</v>
      </c>
      <c r="D51" s="5" t="s">
        <v>94</v>
      </c>
      <c r="E51" s="15">
        <v>48468.665000000001</v>
      </c>
      <c r="F51" s="5">
        <v>2071100000</v>
      </c>
      <c r="G51" s="2" t="s">
        <v>141</v>
      </c>
    </row>
    <row r="52" spans="1:7" x14ac:dyDescent="0.2">
      <c r="A52" s="2" t="s">
        <v>183</v>
      </c>
      <c r="B52" s="5" t="s">
        <v>8</v>
      </c>
      <c r="C52" s="5" t="s">
        <v>19</v>
      </c>
      <c r="D52" s="5" t="s">
        <v>54</v>
      </c>
      <c r="E52" s="15">
        <v>23928.799999999999</v>
      </c>
      <c r="F52" s="5">
        <v>2071209200</v>
      </c>
      <c r="G52" s="2" t="s">
        <v>183</v>
      </c>
    </row>
    <row r="53" spans="1:7" x14ac:dyDescent="0.2">
      <c r="A53" s="2" t="s">
        <v>142</v>
      </c>
      <c r="B53" s="5" t="s">
        <v>8</v>
      </c>
      <c r="C53" s="5">
        <v>111111</v>
      </c>
      <c r="D53" s="5" t="s">
        <v>94</v>
      </c>
      <c r="E53" s="15">
        <v>2393259.19</v>
      </c>
      <c r="F53" s="5">
        <v>2071209200</v>
      </c>
      <c r="G53" s="2" t="s">
        <v>142</v>
      </c>
    </row>
    <row r="54" spans="1:7" x14ac:dyDescent="0.2">
      <c r="A54" s="2" t="s">
        <v>143</v>
      </c>
      <c r="B54" s="5" t="s">
        <v>76</v>
      </c>
      <c r="C54" s="5">
        <v>111111</v>
      </c>
      <c r="D54" s="5" t="s">
        <v>94</v>
      </c>
      <c r="E54" s="15">
        <v>23069.654999999999</v>
      </c>
      <c r="F54" s="5">
        <v>2071209400</v>
      </c>
      <c r="G54" s="2" t="s">
        <v>143</v>
      </c>
    </row>
    <row r="55" spans="1:7" x14ac:dyDescent="0.2">
      <c r="A55" s="2" t="s">
        <v>144</v>
      </c>
      <c r="B55" s="5" t="s">
        <v>77</v>
      </c>
      <c r="C55" s="5">
        <v>111111</v>
      </c>
      <c r="D55" s="5" t="s">
        <v>94</v>
      </c>
      <c r="E55" s="15">
        <v>208366.935</v>
      </c>
      <c r="F55" s="5">
        <v>2071209500</v>
      </c>
      <c r="G55" s="2" t="s">
        <v>144</v>
      </c>
    </row>
    <row r="56" spans="1:7" x14ac:dyDescent="0.2">
      <c r="A56" s="2" t="s">
        <v>184</v>
      </c>
      <c r="B56" s="5" t="s">
        <v>20</v>
      </c>
      <c r="C56" s="5">
        <v>111111</v>
      </c>
      <c r="D56" s="5" t="s">
        <v>94</v>
      </c>
      <c r="E56" s="15">
        <v>308232</v>
      </c>
      <c r="F56" s="5">
        <v>2071220000</v>
      </c>
      <c r="G56" s="2" t="s">
        <v>184</v>
      </c>
    </row>
    <row r="57" spans="1:7" x14ac:dyDescent="0.2">
      <c r="A57" s="2" t="s">
        <v>185</v>
      </c>
      <c r="B57" s="5" t="s">
        <v>21</v>
      </c>
      <c r="C57" s="5">
        <v>19</v>
      </c>
      <c r="D57" s="5" t="s">
        <v>40</v>
      </c>
      <c r="E57" s="15">
        <v>13422.779999999999</v>
      </c>
      <c r="F57" s="5">
        <v>2071511000</v>
      </c>
      <c r="G57" s="2" t="s">
        <v>185</v>
      </c>
    </row>
    <row r="58" spans="1:7" x14ac:dyDescent="0.2">
      <c r="A58" s="2" t="s">
        <v>186</v>
      </c>
      <c r="B58" s="5" t="s">
        <v>21</v>
      </c>
      <c r="C58" s="5">
        <v>111111</v>
      </c>
      <c r="D58" s="5" t="s">
        <v>94</v>
      </c>
      <c r="E58" s="15">
        <v>4045.6150000000002</v>
      </c>
      <c r="F58" s="5">
        <v>2071511000</v>
      </c>
      <c r="G58" s="2" t="s">
        <v>186</v>
      </c>
    </row>
    <row r="59" spans="1:7" x14ac:dyDescent="0.2">
      <c r="A59" s="2" t="s">
        <v>187</v>
      </c>
      <c r="B59" s="5" t="s">
        <v>22</v>
      </c>
      <c r="C59" s="5">
        <v>111111</v>
      </c>
      <c r="D59" s="5" t="s">
        <v>94</v>
      </c>
      <c r="E59" s="15">
        <v>49621.144999999997</v>
      </c>
      <c r="F59" s="5">
        <v>2071910000</v>
      </c>
      <c r="G59" s="2" t="s">
        <v>187</v>
      </c>
    </row>
    <row r="60" spans="1:7" x14ac:dyDescent="0.2">
      <c r="A60" s="2" t="s">
        <v>145</v>
      </c>
      <c r="B60" s="5" t="s">
        <v>78</v>
      </c>
      <c r="C60" s="5">
        <v>111101</v>
      </c>
      <c r="D60" s="5" t="s">
        <v>0</v>
      </c>
      <c r="E60" s="15">
        <v>20323.309999999998</v>
      </c>
      <c r="F60" s="5">
        <v>2071980000</v>
      </c>
      <c r="G60" s="2" t="s">
        <v>145</v>
      </c>
    </row>
    <row r="61" spans="1:7" x14ac:dyDescent="0.2">
      <c r="A61" s="2" t="s">
        <v>146</v>
      </c>
      <c r="B61" s="5" t="s">
        <v>79</v>
      </c>
      <c r="C61" s="5">
        <v>111111</v>
      </c>
      <c r="D61" s="5" t="s">
        <v>94</v>
      </c>
      <c r="E61" s="15">
        <v>169489</v>
      </c>
      <c r="F61" s="5">
        <v>2079022000</v>
      </c>
      <c r="G61" s="2" t="s">
        <v>146</v>
      </c>
    </row>
    <row r="62" spans="1:7" x14ac:dyDescent="0.2">
      <c r="A62" s="2" t="s">
        <v>188</v>
      </c>
      <c r="B62" s="5" t="s">
        <v>80</v>
      </c>
      <c r="C62" s="5">
        <v>19</v>
      </c>
      <c r="D62" s="5" t="s">
        <v>40</v>
      </c>
      <c r="E62" s="15">
        <v>85462.684999999998</v>
      </c>
      <c r="F62" s="5">
        <v>2079070000</v>
      </c>
      <c r="G62" s="2" t="s">
        <v>188</v>
      </c>
    </row>
    <row r="63" spans="1:7" x14ac:dyDescent="0.2">
      <c r="A63" s="2" t="s">
        <v>189</v>
      </c>
      <c r="B63" s="5" t="s">
        <v>80</v>
      </c>
      <c r="C63" s="5" t="s">
        <v>5</v>
      </c>
      <c r="D63" s="5" t="s">
        <v>41</v>
      </c>
      <c r="E63" s="15">
        <v>11422.144999999999</v>
      </c>
      <c r="F63" s="5">
        <v>2079070000</v>
      </c>
      <c r="G63" s="2" t="s">
        <v>189</v>
      </c>
    </row>
    <row r="64" spans="1:7" x14ac:dyDescent="0.2">
      <c r="A64" s="2" t="s">
        <v>190</v>
      </c>
      <c r="B64" s="5" t="s">
        <v>80</v>
      </c>
      <c r="C64" s="5" t="s">
        <v>12</v>
      </c>
      <c r="D64" s="5" t="s">
        <v>35</v>
      </c>
      <c r="E64" s="15">
        <v>84438.864999999991</v>
      </c>
      <c r="F64" s="5">
        <v>2079070000</v>
      </c>
      <c r="G64" s="2" t="s">
        <v>190</v>
      </c>
    </row>
    <row r="65" spans="1:7" x14ac:dyDescent="0.2">
      <c r="A65" s="2" t="s">
        <v>148</v>
      </c>
      <c r="B65" s="5" t="s">
        <v>80</v>
      </c>
      <c r="C65" s="5">
        <v>111111</v>
      </c>
      <c r="D65" s="5" t="s">
        <v>94</v>
      </c>
      <c r="E65" s="15">
        <v>638869.13</v>
      </c>
      <c r="F65" s="5">
        <v>2079070000</v>
      </c>
      <c r="G65" s="2" t="s">
        <v>148</v>
      </c>
    </row>
    <row r="66" spans="1:7" x14ac:dyDescent="0.2">
      <c r="A66" s="2" t="s">
        <v>191</v>
      </c>
      <c r="B66" s="5" t="s">
        <v>81</v>
      </c>
      <c r="C66" s="5" t="s">
        <v>10</v>
      </c>
      <c r="D66" s="5" t="s">
        <v>46</v>
      </c>
      <c r="E66" s="15">
        <v>0</v>
      </c>
      <c r="F66" s="5">
        <v>2079080000</v>
      </c>
      <c r="G66" s="2" t="s">
        <v>191</v>
      </c>
    </row>
    <row r="67" spans="1:7" x14ac:dyDescent="0.2">
      <c r="A67" s="2" t="s">
        <v>150</v>
      </c>
      <c r="B67" s="5" t="s">
        <v>81</v>
      </c>
      <c r="C67" s="5">
        <v>1007</v>
      </c>
      <c r="D67" s="5" t="s">
        <v>36</v>
      </c>
      <c r="E67" s="15">
        <v>0</v>
      </c>
      <c r="F67" s="5">
        <v>2079080000</v>
      </c>
      <c r="G67" s="2" t="s">
        <v>150</v>
      </c>
    </row>
    <row r="68" spans="1:7" x14ac:dyDescent="0.2">
      <c r="A68" s="2" t="s">
        <v>151</v>
      </c>
      <c r="B68" s="5" t="s">
        <v>81</v>
      </c>
      <c r="C68" s="5">
        <v>1008</v>
      </c>
      <c r="D68" s="5" t="s">
        <v>38</v>
      </c>
      <c r="E68" s="15">
        <v>0</v>
      </c>
      <c r="F68" s="5">
        <v>2079080000</v>
      </c>
      <c r="G68" s="2" t="s">
        <v>151</v>
      </c>
    </row>
    <row r="69" spans="1:7" x14ac:dyDescent="0.2">
      <c r="A69" s="2" t="s">
        <v>192</v>
      </c>
      <c r="B69" s="5" t="s">
        <v>82</v>
      </c>
      <c r="C69" s="5" t="s">
        <v>10</v>
      </c>
      <c r="D69" s="5" t="s">
        <v>46</v>
      </c>
      <c r="E69" s="15">
        <v>0</v>
      </c>
      <c r="F69" s="5">
        <v>2082280000</v>
      </c>
      <c r="G69" s="2" t="s">
        <v>192</v>
      </c>
    </row>
    <row r="70" spans="1:7" x14ac:dyDescent="0.2">
      <c r="A70" s="2" t="s">
        <v>152</v>
      </c>
      <c r="B70" s="5" t="s">
        <v>82</v>
      </c>
      <c r="C70" s="5">
        <v>1009</v>
      </c>
      <c r="D70" s="5" t="s">
        <v>34</v>
      </c>
      <c r="E70" s="15">
        <v>0</v>
      </c>
      <c r="F70" s="5">
        <v>2082280000</v>
      </c>
      <c r="G70" s="2" t="s">
        <v>152</v>
      </c>
    </row>
    <row r="71" spans="1:7" x14ac:dyDescent="0.2">
      <c r="A71" s="2" t="s">
        <v>153</v>
      </c>
      <c r="B71" s="5" t="s">
        <v>82</v>
      </c>
      <c r="C71" s="5">
        <v>1007</v>
      </c>
      <c r="D71" s="5" t="s">
        <v>36</v>
      </c>
      <c r="E71" s="15">
        <v>0</v>
      </c>
      <c r="F71" s="5">
        <v>2082280000</v>
      </c>
      <c r="G71" s="2" t="s">
        <v>153</v>
      </c>
    </row>
    <row r="72" spans="1:7" x14ac:dyDescent="0.2">
      <c r="A72" s="2" t="s">
        <v>154</v>
      </c>
      <c r="B72" s="5" t="s">
        <v>82</v>
      </c>
      <c r="C72" s="5">
        <v>1008</v>
      </c>
      <c r="D72" s="5" t="s">
        <v>38</v>
      </c>
      <c r="E72" s="15">
        <v>0</v>
      </c>
      <c r="F72" s="5">
        <v>2082280000</v>
      </c>
      <c r="G72" s="2" t="s">
        <v>154</v>
      </c>
    </row>
    <row r="73" spans="1:7" x14ac:dyDescent="0.2">
      <c r="A73" s="2" t="s">
        <v>155</v>
      </c>
      <c r="B73" s="5" t="s">
        <v>82</v>
      </c>
      <c r="C73" s="5">
        <v>1240</v>
      </c>
      <c r="D73" s="5" t="s">
        <v>43</v>
      </c>
      <c r="E73" s="15">
        <v>-34224.959999999999</v>
      </c>
      <c r="F73" s="5">
        <v>2082280000</v>
      </c>
      <c r="G73" s="2" t="s">
        <v>155</v>
      </c>
    </row>
    <row r="74" spans="1:7" x14ac:dyDescent="0.2">
      <c r="A74" s="2" t="s">
        <v>193</v>
      </c>
      <c r="B74" s="5" t="s">
        <v>82</v>
      </c>
      <c r="C74" s="5">
        <v>1006</v>
      </c>
      <c r="D74" s="5" t="s">
        <v>53</v>
      </c>
      <c r="E74" s="15">
        <v>-6778.415</v>
      </c>
      <c r="F74" s="5">
        <v>2082280000</v>
      </c>
      <c r="G74" s="2" t="s">
        <v>193</v>
      </c>
    </row>
    <row r="75" spans="1:7" x14ac:dyDescent="0.2">
      <c r="A75" s="2" t="s">
        <v>153</v>
      </c>
      <c r="B75" s="5" t="s">
        <v>82</v>
      </c>
      <c r="C75" s="5">
        <v>1007</v>
      </c>
      <c r="D75" s="5" t="s">
        <v>37</v>
      </c>
      <c r="E75" s="15">
        <v>0</v>
      </c>
      <c r="F75" s="5">
        <v>2082280000</v>
      </c>
      <c r="G75" s="2" t="s">
        <v>153</v>
      </c>
    </row>
    <row r="76" spans="1:7" x14ac:dyDescent="0.2">
      <c r="A76" s="2" t="s">
        <v>156</v>
      </c>
      <c r="B76" s="5" t="s">
        <v>82</v>
      </c>
      <c r="C76" s="5">
        <v>111111</v>
      </c>
      <c r="D76" s="5" t="s">
        <v>94</v>
      </c>
      <c r="E76" s="15">
        <v>-2204.7199999999998</v>
      </c>
      <c r="F76" s="5">
        <v>2082280000</v>
      </c>
      <c r="G76" s="2" t="s">
        <v>156</v>
      </c>
    </row>
    <row r="77" spans="1:7" x14ac:dyDescent="0.2">
      <c r="A77" s="2" t="s">
        <v>158</v>
      </c>
      <c r="B77" s="5" t="s">
        <v>83</v>
      </c>
      <c r="C77" s="5">
        <v>111101</v>
      </c>
      <c r="D77" s="5" t="s">
        <v>0</v>
      </c>
      <c r="E77" s="15">
        <v>80617.179999999993</v>
      </c>
      <c r="F77" s="5">
        <v>2082208200</v>
      </c>
      <c r="G77" s="2" t="s">
        <v>158</v>
      </c>
    </row>
    <row r="78" spans="1:7" x14ac:dyDescent="0.2">
      <c r="A78" s="2" t="s">
        <v>159</v>
      </c>
      <c r="B78" s="5" t="s">
        <v>84</v>
      </c>
      <c r="C78" s="5">
        <v>88</v>
      </c>
      <c r="D78" s="5" t="s">
        <v>31</v>
      </c>
      <c r="E78" s="15">
        <v>2752704.22</v>
      </c>
      <c r="F78" s="5">
        <v>2082214000</v>
      </c>
      <c r="G78" s="2" t="s">
        <v>159</v>
      </c>
    </row>
    <row r="79" spans="1:7" x14ac:dyDescent="0.2">
      <c r="A79" s="2" t="s">
        <v>194</v>
      </c>
      <c r="B79" s="5" t="s">
        <v>84</v>
      </c>
      <c r="C79" s="5">
        <v>1007</v>
      </c>
      <c r="D79" s="5" t="s">
        <v>37</v>
      </c>
      <c r="E79" s="15">
        <v>0</v>
      </c>
      <c r="F79" s="5">
        <v>2082214000</v>
      </c>
      <c r="G79" s="2" t="s">
        <v>194</v>
      </c>
    </row>
    <row r="80" spans="1:7" x14ac:dyDescent="0.2">
      <c r="A80" s="2" t="s">
        <v>195</v>
      </c>
      <c r="B80" s="5" t="s">
        <v>84</v>
      </c>
      <c r="C80" s="5">
        <v>111111</v>
      </c>
      <c r="D80" s="5" t="s">
        <v>94</v>
      </c>
      <c r="E80" s="15">
        <v>1250.7950000000001</v>
      </c>
      <c r="F80" s="5">
        <v>2082214000</v>
      </c>
      <c r="G80" s="2" t="s">
        <v>195</v>
      </c>
    </row>
    <row r="81" spans="1:7" x14ac:dyDescent="0.2">
      <c r="A81" s="2" t="s">
        <v>196</v>
      </c>
      <c r="B81" s="5" t="s">
        <v>97</v>
      </c>
      <c r="C81" s="5">
        <v>1240</v>
      </c>
      <c r="D81" s="5" t="s">
        <v>43</v>
      </c>
      <c r="E81" s="15">
        <v>4130000</v>
      </c>
      <c r="F81" s="5">
        <v>2082110000</v>
      </c>
      <c r="G81" s="2" t="s">
        <v>196</v>
      </c>
    </row>
    <row r="82" spans="1:7" x14ac:dyDescent="0.2">
      <c r="A82" s="2" t="s">
        <v>160</v>
      </c>
      <c r="B82" s="5" t="s">
        <v>85</v>
      </c>
      <c r="C82" s="5">
        <v>111101</v>
      </c>
      <c r="D82" s="5" t="s">
        <v>0</v>
      </c>
      <c r="E82" s="15">
        <v>496748.70000000007</v>
      </c>
      <c r="F82" s="5">
        <v>2091200000</v>
      </c>
      <c r="G82" s="2" t="s">
        <v>160</v>
      </c>
    </row>
    <row r="83" spans="1:7" x14ac:dyDescent="0.2">
      <c r="A83" s="2" t="s">
        <v>161</v>
      </c>
      <c r="B83" s="5" t="s">
        <v>86</v>
      </c>
      <c r="C83" s="5">
        <v>111101</v>
      </c>
      <c r="D83" s="5" t="s">
        <v>0</v>
      </c>
      <c r="E83" s="15">
        <v>480872.96000000002</v>
      </c>
      <c r="F83" s="5">
        <v>2091200001</v>
      </c>
      <c r="G83" s="2" t="s">
        <v>161</v>
      </c>
    </row>
    <row r="84" spans="1:7" x14ac:dyDescent="0.2">
      <c r="A84" s="2" t="s">
        <v>197</v>
      </c>
      <c r="B84" s="5" t="s">
        <v>23</v>
      </c>
      <c r="C84" s="5">
        <v>111101</v>
      </c>
      <c r="D84" s="5" t="s">
        <v>0</v>
      </c>
      <c r="E84" s="15">
        <v>0</v>
      </c>
      <c r="F84" s="5">
        <v>2091900000</v>
      </c>
      <c r="G84" s="2" t="s">
        <v>197</v>
      </c>
    </row>
    <row r="85" spans="1:7" x14ac:dyDescent="0.2">
      <c r="A85" s="2" t="s">
        <v>162</v>
      </c>
      <c r="B85" s="5" t="s">
        <v>87</v>
      </c>
      <c r="C85" s="5">
        <v>111101</v>
      </c>
      <c r="D85" s="5" t="s">
        <v>0</v>
      </c>
      <c r="E85" s="15">
        <v>6570.3050000000003</v>
      </c>
      <c r="F85" s="5">
        <v>2092200000</v>
      </c>
      <c r="G85" s="2" t="s">
        <v>162</v>
      </c>
    </row>
    <row r="86" spans="1:7" x14ac:dyDescent="0.2">
      <c r="A86" s="2" t="s">
        <v>198</v>
      </c>
      <c r="B86" s="17" t="s">
        <v>60</v>
      </c>
      <c r="C86" s="17">
        <v>111101</v>
      </c>
      <c r="D86" s="17" t="s">
        <v>0</v>
      </c>
      <c r="E86" s="18">
        <v>6073808.1600000001</v>
      </c>
      <c r="F86" s="17">
        <v>2111111999</v>
      </c>
      <c r="G86" s="2" t="s">
        <v>198</v>
      </c>
    </row>
    <row r="87" spans="1:7" x14ac:dyDescent="0.2">
      <c r="C87" s="5"/>
    </row>
    <row r="88" spans="1:7" x14ac:dyDescent="0.2">
      <c r="C88" s="5"/>
    </row>
    <row r="89" spans="1:7" x14ac:dyDescent="0.2">
      <c r="C89" s="5"/>
    </row>
    <row r="90" spans="1:7" x14ac:dyDescent="0.2">
      <c r="C90" s="5"/>
    </row>
    <row r="91" spans="1:7" x14ac:dyDescent="0.2">
      <c r="C91" s="5"/>
    </row>
    <row r="92" spans="1:7" x14ac:dyDescent="0.2">
      <c r="C92" s="5"/>
    </row>
    <row r="93" spans="1:7" x14ac:dyDescent="0.2">
      <c r="C93" s="5"/>
    </row>
    <row r="94" spans="1:7" x14ac:dyDescent="0.2">
      <c r="C94" s="5"/>
    </row>
    <row r="95" spans="1:7" x14ac:dyDescent="0.2">
      <c r="C95" s="5"/>
    </row>
    <row r="96" spans="1:7" x14ac:dyDescent="0.2">
      <c r="C96" s="5"/>
    </row>
    <row r="97" spans="3:3" x14ac:dyDescent="0.2">
      <c r="C97" s="5"/>
    </row>
    <row r="98" spans="3:3" x14ac:dyDescent="0.2">
      <c r="C98" s="5"/>
    </row>
    <row r="99" spans="3:3" x14ac:dyDescent="0.2">
      <c r="C99" s="5"/>
    </row>
    <row r="100" spans="3:3" x14ac:dyDescent="0.2">
      <c r="C100" s="5"/>
    </row>
    <row r="101" spans="3:3" x14ac:dyDescent="0.2">
      <c r="C101" s="5"/>
    </row>
    <row r="102" spans="3:3" x14ac:dyDescent="0.2">
      <c r="C102" s="5"/>
    </row>
    <row r="103" spans="3:3" x14ac:dyDescent="0.2">
      <c r="C103" s="5"/>
    </row>
    <row r="104" spans="3:3" x14ac:dyDescent="0.2">
      <c r="C104" s="5"/>
    </row>
    <row r="105" spans="3:3" x14ac:dyDescent="0.2">
      <c r="C105" s="5"/>
    </row>
    <row r="106" spans="3:3" x14ac:dyDescent="0.2">
      <c r="C106" s="5"/>
    </row>
    <row r="107" spans="3:3" x14ac:dyDescent="0.2">
      <c r="C107" s="5"/>
    </row>
    <row r="108" spans="3:3" x14ac:dyDescent="0.2">
      <c r="C108" s="5"/>
    </row>
    <row r="109" spans="3:3" x14ac:dyDescent="0.2">
      <c r="C109" s="5"/>
    </row>
    <row r="110" spans="3:3" x14ac:dyDescent="0.2">
      <c r="C110" s="5"/>
    </row>
    <row r="111" spans="3:3" x14ac:dyDescent="0.2">
      <c r="C111" s="5"/>
    </row>
    <row r="112" spans="3:3" x14ac:dyDescent="0.2">
      <c r="C112" s="5"/>
    </row>
    <row r="113" spans="3:3" x14ac:dyDescent="0.2">
      <c r="C113" s="5"/>
    </row>
    <row r="114" spans="3:3" x14ac:dyDescent="0.2">
      <c r="C114" s="5"/>
    </row>
    <row r="115" spans="3:3" x14ac:dyDescent="0.2">
      <c r="C115" s="5"/>
    </row>
    <row r="116" spans="3:3" x14ac:dyDescent="0.2">
      <c r="C116" s="5"/>
    </row>
    <row r="117" spans="3:3" x14ac:dyDescent="0.2">
      <c r="C117" s="5"/>
    </row>
    <row r="118" spans="3:3" x14ac:dyDescent="0.2">
      <c r="C118" s="5"/>
    </row>
    <row r="119" spans="3:3" x14ac:dyDescent="0.2">
      <c r="C119" s="5"/>
    </row>
    <row r="120" spans="3:3" x14ac:dyDescent="0.2">
      <c r="C120" s="5"/>
    </row>
    <row r="121" spans="3:3" x14ac:dyDescent="0.2">
      <c r="C121" s="5"/>
    </row>
    <row r="122" spans="3:3" x14ac:dyDescent="0.2">
      <c r="C122" s="5"/>
    </row>
    <row r="123" spans="3:3" x14ac:dyDescent="0.2">
      <c r="C123" s="5"/>
    </row>
    <row r="124" spans="3:3" x14ac:dyDescent="0.2">
      <c r="C124" s="5"/>
    </row>
    <row r="125" spans="3:3" x14ac:dyDescent="0.2">
      <c r="C125" s="5"/>
    </row>
    <row r="126" spans="3:3" x14ac:dyDescent="0.2">
      <c r="C126" s="5"/>
    </row>
    <row r="127" spans="3:3" x14ac:dyDescent="0.2">
      <c r="C127" s="5"/>
    </row>
    <row r="128" spans="3:3" x14ac:dyDescent="0.2">
      <c r="C128" s="5"/>
    </row>
    <row r="129" spans="3:3" x14ac:dyDescent="0.2">
      <c r="C129" s="5"/>
    </row>
  </sheetData>
  <autoFilter ref="B4:F86" xr:uid="{00000000-0009-0000-0000-000004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117"/>
  <sheetViews>
    <sheetView workbookViewId="0">
      <selection activeCell="G12" sqref="G12"/>
    </sheetView>
  </sheetViews>
  <sheetFormatPr defaultColWidth="9.140625" defaultRowHeight="12" x14ac:dyDescent="0.2"/>
  <cols>
    <col min="1" max="1" width="17.28515625" style="2" bestFit="1" customWidth="1"/>
    <col min="2" max="2" width="38.5703125" style="2" bestFit="1" customWidth="1"/>
    <col min="3" max="3" width="18.42578125" style="2" bestFit="1" customWidth="1"/>
    <col min="4" max="4" width="26.7109375" style="2" bestFit="1" customWidth="1"/>
    <col min="5" max="5" width="11.5703125" style="2" bestFit="1" customWidth="1"/>
    <col min="6" max="6" width="18" style="2" bestFit="1" customWidth="1"/>
    <col min="7" max="7" width="17.28515625" style="2" bestFit="1" customWidth="1"/>
    <col min="8" max="16384" width="9.140625" style="2"/>
  </cols>
  <sheetData>
    <row r="1" spans="1:7" ht="15.75" x14ac:dyDescent="0.25">
      <c r="B1" s="3" t="s">
        <v>105</v>
      </c>
    </row>
    <row r="4" spans="1:7" ht="15" x14ac:dyDescent="0.25">
      <c r="A4" s="22" t="s">
        <v>106</v>
      </c>
      <c r="B4" s="22" t="s">
        <v>90</v>
      </c>
      <c r="C4" s="22" t="s">
        <v>30</v>
      </c>
      <c r="D4" s="22" t="s">
        <v>91</v>
      </c>
      <c r="E4" s="22" t="s">
        <v>92</v>
      </c>
      <c r="F4" s="22" t="s">
        <v>93</v>
      </c>
      <c r="G4"/>
    </row>
    <row r="5" spans="1:7" x14ac:dyDescent="0.2">
      <c r="A5" s="2" t="s">
        <v>165</v>
      </c>
      <c r="B5" s="5" t="s">
        <v>61</v>
      </c>
      <c r="C5" s="5">
        <v>105</v>
      </c>
      <c r="D5" s="5" t="s">
        <v>32</v>
      </c>
      <c r="E5" s="19">
        <v>-616462.01899999997</v>
      </c>
      <c r="F5" s="5">
        <v>2001110000</v>
      </c>
    </row>
    <row r="6" spans="1:7" x14ac:dyDescent="0.2">
      <c r="A6" s="2" t="s">
        <v>107</v>
      </c>
      <c r="B6" s="2" t="s">
        <v>61</v>
      </c>
      <c r="C6" s="5">
        <v>111111</v>
      </c>
      <c r="D6" s="2" t="s">
        <v>94</v>
      </c>
      <c r="E6" s="20">
        <v>-14431341</v>
      </c>
      <c r="F6" s="16">
        <v>2001110000</v>
      </c>
    </row>
    <row r="7" spans="1:7" x14ac:dyDescent="0.2">
      <c r="A7" s="2" t="s">
        <v>108</v>
      </c>
      <c r="B7" s="5" t="s">
        <v>62</v>
      </c>
      <c r="C7" s="5">
        <v>111111</v>
      </c>
      <c r="D7" s="5" t="s">
        <v>94</v>
      </c>
      <c r="E7" s="15">
        <v>-6373617.5140000004</v>
      </c>
      <c r="F7" s="5">
        <v>2001190000</v>
      </c>
    </row>
    <row r="8" spans="1:7" x14ac:dyDescent="0.2">
      <c r="A8" s="2" t="s">
        <v>167</v>
      </c>
      <c r="B8" s="5" t="s">
        <v>98</v>
      </c>
      <c r="C8" s="5">
        <v>111111</v>
      </c>
      <c r="D8" s="5" t="s">
        <v>94</v>
      </c>
      <c r="E8" s="15">
        <v>20504.509999999998</v>
      </c>
      <c r="F8" s="5">
        <v>2021210000</v>
      </c>
    </row>
    <row r="9" spans="1:7" x14ac:dyDescent="0.2">
      <c r="A9" s="2" t="s">
        <v>113</v>
      </c>
      <c r="B9" s="5" t="s">
        <v>95</v>
      </c>
      <c r="C9" s="5">
        <v>111111</v>
      </c>
      <c r="D9" s="5" t="s">
        <v>94</v>
      </c>
      <c r="E9" s="15">
        <v>5674152.0669999998</v>
      </c>
      <c r="F9" s="5">
        <v>2021900000</v>
      </c>
    </row>
    <row r="10" spans="1:7" x14ac:dyDescent="0.2">
      <c r="A10" s="2" t="s">
        <v>199</v>
      </c>
      <c r="B10" s="5" t="s">
        <v>24</v>
      </c>
      <c r="C10" s="5">
        <v>111111</v>
      </c>
      <c r="D10" s="5" t="s">
        <v>94</v>
      </c>
      <c r="E10" s="15">
        <v>13691.949999999999</v>
      </c>
      <c r="F10" s="5">
        <v>2024020000</v>
      </c>
    </row>
    <row r="11" spans="1:7" x14ac:dyDescent="0.2">
      <c r="A11" s="2" t="s">
        <v>114</v>
      </c>
      <c r="B11" s="5" t="s">
        <v>65</v>
      </c>
      <c r="C11" s="5">
        <v>111111</v>
      </c>
      <c r="D11" s="5" t="s">
        <v>94</v>
      </c>
      <c r="E11" s="15">
        <v>350370.99399999995</v>
      </c>
      <c r="F11" s="5">
        <v>2024080000</v>
      </c>
    </row>
    <row r="12" spans="1:7" x14ac:dyDescent="0.2">
      <c r="A12" s="2" t="s">
        <v>115</v>
      </c>
      <c r="B12" s="5" t="s">
        <v>64</v>
      </c>
      <c r="C12" s="5">
        <v>88</v>
      </c>
      <c r="D12" s="5" t="s">
        <v>31</v>
      </c>
      <c r="E12" s="15">
        <v>3116017.1540000001</v>
      </c>
      <c r="F12" s="5">
        <v>2024090000</v>
      </c>
    </row>
    <row r="13" spans="1:7" x14ac:dyDescent="0.2">
      <c r="A13" s="2" t="s">
        <v>169</v>
      </c>
      <c r="B13" s="5" t="s">
        <v>64</v>
      </c>
      <c r="C13" s="5" t="s">
        <v>11</v>
      </c>
      <c r="D13" s="5" t="s">
        <v>33</v>
      </c>
      <c r="E13" s="15">
        <v>0</v>
      </c>
      <c r="F13" s="5">
        <v>2024090000</v>
      </c>
    </row>
    <row r="14" spans="1:7" x14ac:dyDescent="0.2">
      <c r="A14" s="2" t="s">
        <v>170</v>
      </c>
      <c r="B14" s="5" t="s">
        <v>64</v>
      </c>
      <c r="C14" s="5" t="s">
        <v>12</v>
      </c>
      <c r="D14" s="5" t="s">
        <v>35</v>
      </c>
      <c r="E14" s="15">
        <v>673.34299999999985</v>
      </c>
      <c r="F14" s="5">
        <v>2024090000</v>
      </c>
    </row>
    <row r="15" spans="1:7" x14ac:dyDescent="0.2">
      <c r="A15" s="2" t="s">
        <v>200</v>
      </c>
      <c r="B15" s="5" t="s">
        <v>64</v>
      </c>
      <c r="C15" s="5" t="s">
        <v>25</v>
      </c>
      <c r="D15" s="5" t="s">
        <v>47</v>
      </c>
      <c r="E15" s="15">
        <v>192017.14499999996</v>
      </c>
      <c r="F15" s="5">
        <v>2024090000</v>
      </c>
    </row>
    <row r="16" spans="1:7" x14ac:dyDescent="0.2">
      <c r="A16" s="2" t="s">
        <v>201</v>
      </c>
      <c r="B16" s="5" t="s">
        <v>64</v>
      </c>
      <c r="C16" s="5" t="s">
        <v>6</v>
      </c>
      <c r="D16" s="5" t="s">
        <v>42</v>
      </c>
      <c r="E16" s="15">
        <v>375290.46599999996</v>
      </c>
      <c r="F16" s="5">
        <v>2024090000</v>
      </c>
    </row>
    <row r="17" spans="1:6" x14ac:dyDescent="0.2">
      <c r="A17" s="2" t="s">
        <v>202</v>
      </c>
      <c r="B17" s="5" t="s">
        <v>64</v>
      </c>
      <c r="C17" s="5">
        <v>17000</v>
      </c>
      <c r="D17" s="5" t="s">
        <v>49</v>
      </c>
      <c r="E17" s="15">
        <v>4920</v>
      </c>
      <c r="F17" s="5">
        <v>2024090000</v>
      </c>
    </row>
    <row r="18" spans="1:6" x14ac:dyDescent="0.2">
      <c r="A18" s="2" t="s">
        <v>116</v>
      </c>
      <c r="B18" s="5" t="s">
        <v>64</v>
      </c>
      <c r="C18" s="5">
        <v>111111</v>
      </c>
      <c r="D18" s="5" t="s">
        <v>94</v>
      </c>
      <c r="E18" s="15">
        <v>9783.7069999999985</v>
      </c>
      <c r="F18" s="5">
        <v>2024090000</v>
      </c>
    </row>
    <row r="19" spans="1:6" x14ac:dyDescent="0.2">
      <c r="A19" s="2" t="s">
        <v>117</v>
      </c>
      <c r="B19" s="5" t="s">
        <v>1</v>
      </c>
      <c r="C19" s="5">
        <v>111111</v>
      </c>
      <c r="D19" s="5" t="s">
        <v>94</v>
      </c>
      <c r="E19" s="15">
        <v>3982699.5329999998</v>
      </c>
      <c r="F19" s="5">
        <v>2041000000</v>
      </c>
    </row>
    <row r="20" spans="1:6" x14ac:dyDescent="0.2">
      <c r="A20" s="2" t="s">
        <v>118</v>
      </c>
      <c r="B20" s="5" t="s">
        <v>2</v>
      </c>
      <c r="C20" s="5">
        <v>111101</v>
      </c>
      <c r="D20" s="5" t="s">
        <v>0</v>
      </c>
      <c r="E20" s="15">
        <v>1420796.8209999998</v>
      </c>
      <c r="F20" s="5">
        <v>2042000000</v>
      </c>
    </row>
    <row r="21" spans="1:6" x14ac:dyDescent="0.2">
      <c r="A21" s="2" t="s">
        <v>118</v>
      </c>
      <c r="B21" s="5" t="s">
        <v>66</v>
      </c>
      <c r="C21" s="5">
        <v>111101</v>
      </c>
      <c r="D21" s="5" t="s">
        <v>0</v>
      </c>
      <c r="E21" s="15">
        <v>288891.82199999999</v>
      </c>
      <c r="F21" s="5">
        <v>2042000000</v>
      </c>
    </row>
    <row r="22" spans="1:6" x14ac:dyDescent="0.2">
      <c r="A22" s="2" t="s">
        <v>120</v>
      </c>
      <c r="B22" s="5" t="s">
        <v>67</v>
      </c>
      <c r="C22" s="5">
        <v>111101</v>
      </c>
      <c r="D22" s="5" t="s">
        <v>0</v>
      </c>
      <c r="E22" s="15">
        <v>143500</v>
      </c>
      <c r="F22" s="5">
        <v>2045000000</v>
      </c>
    </row>
    <row r="23" spans="1:6" x14ac:dyDescent="0.2">
      <c r="A23" s="2" t="s">
        <v>121</v>
      </c>
      <c r="B23" s="5" t="s">
        <v>68</v>
      </c>
      <c r="C23" s="5">
        <v>111101</v>
      </c>
      <c r="D23" s="5" t="s">
        <v>0</v>
      </c>
      <c r="E23" s="15">
        <v>1875768.159</v>
      </c>
      <c r="F23" s="5">
        <v>2051210000</v>
      </c>
    </row>
    <row r="24" spans="1:6" x14ac:dyDescent="0.2">
      <c r="A24" s="2" t="s">
        <v>173</v>
      </c>
      <c r="B24" s="5" t="s">
        <v>68</v>
      </c>
      <c r="C24" s="5">
        <v>111101</v>
      </c>
      <c r="D24" s="5" t="s">
        <v>0</v>
      </c>
      <c r="E24" s="15">
        <v>12593.355</v>
      </c>
      <c r="F24" s="5">
        <v>2051260000</v>
      </c>
    </row>
    <row r="25" spans="1:6" x14ac:dyDescent="0.2">
      <c r="A25" s="2" t="s">
        <v>203</v>
      </c>
      <c r="B25" s="5" t="s">
        <v>21</v>
      </c>
      <c r="C25" s="5" t="s">
        <v>19</v>
      </c>
      <c r="D25" s="5" t="s">
        <v>54</v>
      </c>
      <c r="E25" s="15">
        <v>0</v>
      </c>
      <c r="F25" s="5">
        <v>2060441000</v>
      </c>
    </row>
    <row r="26" spans="1:6" x14ac:dyDescent="0.2">
      <c r="A26" s="2" t="s">
        <v>204</v>
      </c>
      <c r="B26" s="5" t="s">
        <v>21</v>
      </c>
      <c r="C26" s="5">
        <v>111111</v>
      </c>
      <c r="D26" s="5" t="s">
        <v>94</v>
      </c>
      <c r="E26" s="15">
        <v>-1252.8369999999998</v>
      </c>
      <c r="F26" s="5">
        <v>2060441000</v>
      </c>
    </row>
    <row r="27" spans="1:6" x14ac:dyDescent="0.2">
      <c r="A27" s="2" t="s">
        <v>123</v>
      </c>
      <c r="B27" s="5" t="s">
        <v>69</v>
      </c>
      <c r="C27" s="5" t="s">
        <v>3</v>
      </c>
      <c r="D27" s="5" t="s">
        <v>39</v>
      </c>
      <c r="E27" s="15">
        <v>-1418521.358</v>
      </c>
      <c r="F27" s="5">
        <v>2069010000</v>
      </c>
    </row>
    <row r="28" spans="1:6" x14ac:dyDescent="0.2">
      <c r="A28" s="2" t="s">
        <v>175</v>
      </c>
      <c r="B28" s="5" t="s">
        <v>69</v>
      </c>
      <c r="C28" s="5">
        <v>19</v>
      </c>
      <c r="D28" s="5" t="s">
        <v>40</v>
      </c>
      <c r="E28" s="15">
        <v>-622966.38600000006</v>
      </c>
      <c r="F28" s="5">
        <v>2069010000</v>
      </c>
    </row>
    <row r="29" spans="1:6" x14ac:dyDescent="0.2">
      <c r="A29" s="2" t="s">
        <v>176</v>
      </c>
      <c r="B29" s="5" t="s">
        <v>69</v>
      </c>
      <c r="C29" s="5" t="s">
        <v>16</v>
      </c>
      <c r="D29" s="5" t="s">
        <v>50</v>
      </c>
      <c r="E29" s="15">
        <v>0</v>
      </c>
      <c r="F29" s="5">
        <v>2069010000</v>
      </c>
    </row>
    <row r="30" spans="1:6" x14ac:dyDescent="0.2">
      <c r="A30" s="2" t="s">
        <v>177</v>
      </c>
      <c r="B30" s="5" t="s">
        <v>69</v>
      </c>
      <c r="C30" s="5" t="s">
        <v>10</v>
      </c>
      <c r="D30" s="5" t="s">
        <v>46</v>
      </c>
      <c r="E30" s="15">
        <v>0</v>
      </c>
      <c r="F30" s="5">
        <v>2069010000</v>
      </c>
    </row>
    <row r="31" spans="1:6" x14ac:dyDescent="0.2">
      <c r="A31" s="2" t="s">
        <v>127</v>
      </c>
      <c r="B31" s="5" t="s">
        <v>69</v>
      </c>
      <c r="C31" s="5">
        <v>1009</v>
      </c>
      <c r="D31" s="5" t="s">
        <v>34</v>
      </c>
      <c r="E31" s="15">
        <v>0</v>
      </c>
      <c r="F31" s="5">
        <v>2069010000</v>
      </c>
    </row>
    <row r="32" spans="1:6" x14ac:dyDescent="0.2">
      <c r="A32" s="2" t="s">
        <v>128</v>
      </c>
      <c r="B32" s="5" t="s">
        <v>69</v>
      </c>
      <c r="C32" s="5">
        <v>1007</v>
      </c>
      <c r="D32" s="5" t="s">
        <v>36</v>
      </c>
      <c r="E32" s="15">
        <v>0</v>
      </c>
      <c r="F32" s="5">
        <v>2069010000</v>
      </c>
    </row>
    <row r="33" spans="1:6" x14ac:dyDescent="0.2">
      <c r="A33" s="2" t="s">
        <v>129</v>
      </c>
      <c r="B33" s="5" t="s">
        <v>69</v>
      </c>
      <c r="C33" s="5">
        <v>1008</v>
      </c>
      <c r="D33" s="5" t="s">
        <v>38</v>
      </c>
      <c r="E33" s="15">
        <v>0</v>
      </c>
      <c r="F33" s="5">
        <v>2069010000</v>
      </c>
    </row>
    <row r="34" spans="1:6" x14ac:dyDescent="0.2">
      <c r="A34" s="2" t="s">
        <v>130</v>
      </c>
      <c r="B34" s="5" t="s">
        <v>69</v>
      </c>
      <c r="C34" s="5">
        <v>1240</v>
      </c>
      <c r="D34" s="5" t="s">
        <v>43</v>
      </c>
      <c r="E34" s="15">
        <v>0</v>
      </c>
      <c r="F34" s="5">
        <v>2069010000</v>
      </c>
    </row>
    <row r="35" spans="1:6" x14ac:dyDescent="0.2">
      <c r="A35" s="2" t="s">
        <v>205</v>
      </c>
      <c r="B35" s="5" t="s">
        <v>69</v>
      </c>
      <c r="C35" s="5">
        <v>1006</v>
      </c>
      <c r="D35" s="5" t="s">
        <v>53</v>
      </c>
      <c r="E35" s="15">
        <v>0</v>
      </c>
      <c r="F35" s="5">
        <v>2069010000</v>
      </c>
    </row>
    <row r="36" spans="1:6" x14ac:dyDescent="0.2">
      <c r="A36" s="2" t="s">
        <v>128</v>
      </c>
      <c r="B36" s="5" t="s">
        <v>69</v>
      </c>
      <c r="C36" s="5">
        <v>1007</v>
      </c>
      <c r="D36" s="5" t="s">
        <v>37</v>
      </c>
      <c r="E36" s="15">
        <v>0</v>
      </c>
      <c r="F36" s="5">
        <v>2069010000</v>
      </c>
    </row>
    <row r="37" spans="1:6" x14ac:dyDescent="0.2">
      <c r="A37" s="2" t="s">
        <v>178</v>
      </c>
      <c r="B37" s="5" t="s">
        <v>69</v>
      </c>
      <c r="C37" s="5" t="s">
        <v>17</v>
      </c>
      <c r="D37" s="5" t="s">
        <v>51</v>
      </c>
      <c r="E37" s="15">
        <v>-1948832.1429999999</v>
      </c>
      <c r="F37" s="5">
        <v>2069010000</v>
      </c>
    </row>
    <row r="38" spans="1:6" x14ac:dyDescent="0.2">
      <c r="A38" s="2" t="s">
        <v>131</v>
      </c>
      <c r="B38" s="5" t="s">
        <v>69</v>
      </c>
      <c r="C38" s="5">
        <v>111111</v>
      </c>
      <c r="D38" s="5" t="s">
        <v>94</v>
      </c>
      <c r="E38" s="15">
        <v>-902857.84299999999</v>
      </c>
      <c r="F38" s="5">
        <v>2069010000</v>
      </c>
    </row>
    <row r="39" spans="1:6" x14ac:dyDescent="0.2">
      <c r="A39" s="2" t="s">
        <v>206</v>
      </c>
      <c r="B39" s="5" t="s">
        <v>26</v>
      </c>
      <c r="C39" s="5">
        <v>111111</v>
      </c>
      <c r="D39" s="5" t="s">
        <v>94</v>
      </c>
      <c r="E39" s="15">
        <v>-61499.999999999993</v>
      </c>
      <c r="F39" s="5">
        <v>2069020000</v>
      </c>
    </row>
    <row r="40" spans="1:6" x14ac:dyDescent="0.2">
      <c r="A40" s="2" t="s">
        <v>207</v>
      </c>
      <c r="B40" s="5" t="s">
        <v>70</v>
      </c>
      <c r="C40" s="5">
        <v>105</v>
      </c>
      <c r="D40" s="5" t="s">
        <v>32</v>
      </c>
      <c r="E40" s="15">
        <v>-30913.425999999996</v>
      </c>
      <c r="F40" s="5">
        <v>2069980000</v>
      </c>
    </row>
    <row r="41" spans="1:6" x14ac:dyDescent="0.2">
      <c r="A41" s="2" t="s">
        <v>132</v>
      </c>
      <c r="B41" s="5" t="s">
        <v>70</v>
      </c>
      <c r="C41" s="5">
        <v>111111</v>
      </c>
      <c r="D41" s="5" t="s">
        <v>94</v>
      </c>
      <c r="E41" s="15">
        <v>-15872.001999999999</v>
      </c>
      <c r="F41" s="5">
        <v>2069980000</v>
      </c>
    </row>
    <row r="42" spans="1:6" x14ac:dyDescent="0.2">
      <c r="A42" s="2" t="s">
        <v>133</v>
      </c>
      <c r="B42" s="5" t="s">
        <v>71</v>
      </c>
      <c r="C42" s="5">
        <v>111111</v>
      </c>
      <c r="D42" s="5" t="s">
        <v>94</v>
      </c>
      <c r="E42" s="15">
        <v>57.317999999999998</v>
      </c>
      <c r="F42" s="5">
        <v>2070400000</v>
      </c>
    </row>
    <row r="43" spans="1:6" x14ac:dyDescent="0.2">
      <c r="A43" s="2" t="s">
        <v>135</v>
      </c>
      <c r="B43" s="5" t="s">
        <v>72</v>
      </c>
      <c r="C43" s="5">
        <v>111111</v>
      </c>
      <c r="D43" s="5" t="s">
        <v>94</v>
      </c>
      <c r="E43" s="15">
        <v>19198.66</v>
      </c>
      <c r="F43" s="5">
        <v>2070500000</v>
      </c>
    </row>
    <row r="44" spans="1:6" x14ac:dyDescent="0.2">
      <c r="A44" s="2" t="s">
        <v>208</v>
      </c>
      <c r="B44" s="5" t="s">
        <v>73</v>
      </c>
      <c r="C44" s="5">
        <v>105</v>
      </c>
      <c r="D44" s="5" t="s">
        <v>32</v>
      </c>
      <c r="E44" s="15">
        <v>-1423120</v>
      </c>
      <c r="F44" s="5">
        <v>2070600000</v>
      </c>
    </row>
    <row r="45" spans="1:6" x14ac:dyDescent="0.2">
      <c r="A45" s="2" t="s">
        <v>136</v>
      </c>
      <c r="B45" s="5" t="s">
        <v>73</v>
      </c>
      <c r="C45" s="5">
        <v>111111</v>
      </c>
      <c r="D45" s="5" t="s">
        <v>94</v>
      </c>
      <c r="E45" s="15">
        <v>-172933.44899999999</v>
      </c>
      <c r="F45" s="5">
        <v>2070600000</v>
      </c>
    </row>
    <row r="46" spans="1:6" x14ac:dyDescent="0.2">
      <c r="A46" s="2" t="s">
        <v>181</v>
      </c>
      <c r="B46" s="5" t="s">
        <v>74</v>
      </c>
      <c r="C46" s="5">
        <v>105</v>
      </c>
      <c r="D46" s="5" t="s">
        <v>32</v>
      </c>
      <c r="E46" s="15">
        <v>473575.46100000001</v>
      </c>
      <c r="F46" s="5">
        <v>2070900000</v>
      </c>
    </row>
    <row r="47" spans="1:6" x14ac:dyDescent="0.2">
      <c r="A47" s="2" t="s">
        <v>139</v>
      </c>
      <c r="B47" s="5" t="s">
        <v>74</v>
      </c>
      <c r="C47" s="5">
        <v>111111</v>
      </c>
      <c r="D47" s="5" t="s">
        <v>94</v>
      </c>
      <c r="E47" s="15">
        <v>1481408.47</v>
      </c>
      <c r="F47" s="5">
        <v>2070900000</v>
      </c>
    </row>
    <row r="48" spans="1:6" x14ac:dyDescent="0.2">
      <c r="A48" s="2" t="s">
        <v>140</v>
      </c>
      <c r="B48" s="5" t="s">
        <v>7</v>
      </c>
      <c r="C48" s="5">
        <v>111111</v>
      </c>
      <c r="D48" s="5" t="s">
        <v>94</v>
      </c>
      <c r="E48" s="15">
        <v>40048.799999999996</v>
      </c>
      <c r="F48" s="5">
        <v>2071000000</v>
      </c>
    </row>
    <row r="49" spans="1:6" x14ac:dyDescent="0.2">
      <c r="A49" s="2" t="s">
        <v>209</v>
      </c>
      <c r="B49" s="5" t="s">
        <v>75</v>
      </c>
      <c r="C49" s="5">
        <v>88</v>
      </c>
      <c r="D49" s="5" t="s">
        <v>31</v>
      </c>
      <c r="E49" s="15">
        <v>584.66</v>
      </c>
      <c r="F49" s="5">
        <v>2071100000</v>
      </c>
    </row>
    <row r="50" spans="1:6" x14ac:dyDescent="0.2">
      <c r="A50" s="2" t="s">
        <v>141</v>
      </c>
      <c r="B50" s="5" t="s">
        <v>75</v>
      </c>
      <c r="C50" s="5">
        <v>111111</v>
      </c>
      <c r="D50" s="5" t="s">
        <v>94</v>
      </c>
      <c r="E50" s="15">
        <v>64039.82699999999</v>
      </c>
      <c r="F50" s="5">
        <v>2071100000</v>
      </c>
    </row>
    <row r="51" spans="1:6" x14ac:dyDescent="0.2">
      <c r="A51" s="2" t="s">
        <v>210</v>
      </c>
      <c r="B51" s="5" t="s">
        <v>27</v>
      </c>
      <c r="C51" s="5">
        <v>111111</v>
      </c>
      <c r="D51" s="5" t="s">
        <v>94</v>
      </c>
      <c r="E51" s="15">
        <v>1352.9999999999998</v>
      </c>
      <c r="F51" s="5">
        <v>2071209100</v>
      </c>
    </row>
    <row r="52" spans="1:6" x14ac:dyDescent="0.2">
      <c r="A52" s="2" t="s">
        <v>142</v>
      </c>
      <c r="B52" s="5" t="s">
        <v>8</v>
      </c>
      <c r="C52" s="5">
        <v>111111</v>
      </c>
      <c r="D52" s="5" t="s">
        <v>94</v>
      </c>
      <c r="E52" s="15">
        <v>2514431.8869999996</v>
      </c>
      <c r="F52" s="5">
        <v>2071209200</v>
      </c>
    </row>
    <row r="53" spans="1:6" x14ac:dyDescent="0.2">
      <c r="A53" s="2" t="s">
        <v>143</v>
      </c>
      <c r="B53" s="5" t="s">
        <v>76</v>
      </c>
      <c r="C53" s="5">
        <v>111111</v>
      </c>
      <c r="D53" s="5" t="s">
        <v>94</v>
      </c>
      <c r="E53" s="15">
        <v>4194.2999999999993</v>
      </c>
      <c r="F53" s="5">
        <v>2071209400</v>
      </c>
    </row>
    <row r="54" spans="1:6" x14ac:dyDescent="0.2">
      <c r="A54" s="2" t="s">
        <v>144</v>
      </c>
      <c r="B54" s="5" t="s">
        <v>77</v>
      </c>
      <c r="C54" s="5">
        <v>111111</v>
      </c>
      <c r="D54" s="5" t="s">
        <v>94</v>
      </c>
      <c r="E54" s="15">
        <v>106525.708</v>
      </c>
      <c r="F54" s="5">
        <v>2071209500</v>
      </c>
    </row>
    <row r="55" spans="1:6" x14ac:dyDescent="0.2">
      <c r="A55" s="2" t="s">
        <v>145</v>
      </c>
      <c r="B55" s="5" t="s">
        <v>78</v>
      </c>
      <c r="C55" s="5">
        <v>111101</v>
      </c>
      <c r="D55" s="5" t="s">
        <v>0</v>
      </c>
      <c r="E55" s="15">
        <v>109811.284</v>
      </c>
      <c r="F55" s="5">
        <v>2071980000</v>
      </c>
    </row>
    <row r="56" spans="1:6" x14ac:dyDescent="0.2">
      <c r="A56" s="2" t="s">
        <v>146</v>
      </c>
      <c r="B56" s="5" t="s">
        <v>79</v>
      </c>
      <c r="C56" s="5">
        <v>111111</v>
      </c>
      <c r="D56" s="5" t="s">
        <v>94</v>
      </c>
      <c r="E56" s="15">
        <v>61111.483999999997</v>
      </c>
      <c r="F56" s="5">
        <v>2079022000</v>
      </c>
    </row>
    <row r="57" spans="1:6" x14ac:dyDescent="0.2">
      <c r="A57" s="2" t="s">
        <v>190</v>
      </c>
      <c r="B57" s="5" t="s">
        <v>80</v>
      </c>
      <c r="C57" s="5" t="s">
        <v>12</v>
      </c>
      <c r="D57" s="5" t="s">
        <v>35</v>
      </c>
      <c r="E57" s="15">
        <v>0</v>
      </c>
      <c r="F57" s="5">
        <v>2079070000</v>
      </c>
    </row>
    <row r="58" spans="1:6" x14ac:dyDescent="0.2">
      <c r="A58" s="2" t="s">
        <v>147</v>
      </c>
      <c r="B58" s="5" t="s">
        <v>80</v>
      </c>
      <c r="C58" s="5">
        <v>105</v>
      </c>
      <c r="D58" s="5" t="s">
        <v>32</v>
      </c>
      <c r="E58" s="15">
        <v>1684415.2999999998</v>
      </c>
      <c r="F58" s="5">
        <v>2079070000</v>
      </c>
    </row>
    <row r="59" spans="1:6" x14ac:dyDescent="0.2">
      <c r="A59" s="2" t="s">
        <v>148</v>
      </c>
      <c r="B59" s="5" t="s">
        <v>80</v>
      </c>
      <c r="C59" s="5">
        <v>111111</v>
      </c>
      <c r="D59" s="5" t="s">
        <v>94</v>
      </c>
      <c r="E59" s="15">
        <v>575626.2649999999</v>
      </c>
      <c r="F59" s="5">
        <v>2079070000</v>
      </c>
    </row>
    <row r="60" spans="1:6" x14ac:dyDescent="0.2">
      <c r="A60" s="2" t="s">
        <v>191</v>
      </c>
      <c r="B60" s="5" t="s">
        <v>81</v>
      </c>
      <c r="C60" s="5" t="s">
        <v>10</v>
      </c>
      <c r="D60" s="5" t="s">
        <v>46</v>
      </c>
      <c r="E60" s="15">
        <v>0</v>
      </c>
      <c r="F60" s="5">
        <v>2079080000</v>
      </c>
    </row>
    <row r="61" spans="1:6" x14ac:dyDescent="0.2">
      <c r="A61" s="2" t="s">
        <v>150</v>
      </c>
      <c r="B61" s="5" t="s">
        <v>81</v>
      </c>
      <c r="C61" s="5">
        <v>1007</v>
      </c>
      <c r="D61" s="5" t="s">
        <v>37</v>
      </c>
      <c r="E61" s="15">
        <v>0</v>
      </c>
      <c r="F61" s="5">
        <v>2079080000</v>
      </c>
    </row>
    <row r="62" spans="1:6" x14ac:dyDescent="0.2">
      <c r="A62" s="2" t="s">
        <v>192</v>
      </c>
      <c r="B62" s="5" t="s">
        <v>82</v>
      </c>
      <c r="C62" s="5" t="s">
        <v>10</v>
      </c>
      <c r="D62" s="5" t="s">
        <v>46</v>
      </c>
      <c r="E62" s="15">
        <v>0</v>
      </c>
      <c r="F62" s="5">
        <v>2082280000</v>
      </c>
    </row>
    <row r="63" spans="1:6" x14ac:dyDescent="0.2">
      <c r="A63" s="2" t="s">
        <v>152</v>
      </c>
      <c r="B63" s="5" t="s">
        <v>82</v>
      </c>
      <c r="C63" s="5">
        <v>1009</v>
      </c>
      <c r="D63" s="5" t="s">
        <v>34</v>
      </c>
      <c r="E63" s="15">
        <v>0</v>
      </c>
      <c r="F63" s="5">
        <v>2082280000</v>
      </c>
    </row>
    <row r="64" spans="1:6" x14ac:dyDescent="0.2">
      <c r="A64" s="2" t="s">
        <v>153</v>
      </c>
      <c r="B64" s="5" t="s">
        <v>82</v>
      </c>
      <c r="C64" s="5">
        <v>1007</v>
      </c>
      <c r="D64" s="5" t="s">
        <v>36</v>
      </c>
      <c r="E64" s="15">
        <v>0</v>
      </c>
      <c r="F64" s="5">
        <v>2082280000</v>
      </c>
    </row>
    <row r="65" spans="1:6" x14ac:dyDescent="0.2">
      <c r="A65" s="2" t="s">
        <v>154</v>
      </c>
      <c r="B65" s="5" t="s">
        <v>82</v>
      </c>
      <c r="C65" s="5">
        <v>1008</v>
      </c>
      <c r="D65" s="5" t="s">
        <v>38</v>
      </c>
      <c r="E65" s="15">
        <v>0</v>
      </c>
      <c r="F65" s="5">
        <v>2082280000</v>
      </c>
    </row>
    <row r="66" spans="1:6" x14ac:dyDescent="0.2">
      <c r="A66" s="2" t="s">
        <v>155</v>
      </c>
      <c r="B66" s="5" t="s">
        <v>82</v>
      </c>
      <c r="C66" s="5">
        <v>1240</v>
      </c>
      <c r="D66" s="5" t="s">
        <v>43</v>
      </c>
      <c r="E66" s="15">
        <v>0</v>
      </c>
      <c r="F66" s="5">
        <v>2082280000</v>
      </c>
    </row>
    <row r="67" spans="1:6" x14ac:dyDescent="0.2">
      <c r="A67" s="2" t="s">
        <v>193</v>
      </c>
      <c r="B67" s="5" t="s">
        <v>82</v>
      </c>
      <c r="C67" s="5">
        <v>1006</v>
      </c>
      <c r="D67" s="5" t="s">
        <v>53</v>
      </c>
      <c r="E67" s="15">
        <v>0</v>
      </c>
      <c r="F67" s="5">
        <v>2082280000</v>
      </c>
    </row>
    <row r="68" spans="1:6" x14ac:dyDescent="0.2">
      <c r="A68" s="2" t="s">
        <v>156</v>
      </c>
      <c r="B68" s="5" t="s">
        <v>82</v>
      </c>
      <c r="C68" s="5">
        <v>111111</v>
      </c>
      <c r="D68" s="5" t="s">
        <v>94</v>
      </c>
      <c r="E68" s="15">
        <v>-73809.511999999988</v>
      </c>
      <c r="F68" s="5">
        <v>2082280000</v>
      </c>
    </row>
    <row r="69" spans="1:6" x14ac:dyDescent="0.2">
      <c r="A69" s="2" t="s">
        <v>158</v>
      </c>
      <c r="B69" s="5" t="s">
        <v>83</v>
      </c>
      <c r="C69" s="5">
        <v>111101</v>
      </c>
      <c r="D69" s="5" t="s">
        <v>0</v>
      </c>
      <c r="E69" s="15">
        <v>7173.195999999999</v>
      </c>
      <c r="F69" s="5">
        <v>2082208200</v>
      </c>
    </row>
    <row r="70" spans="1:6" x14ac:dyDescent="0.2">
      <c r="A70" s="2" t="s">
        <v>159</v>
      </c>
      <c r="B70" s="5" t="s">
        <v>84</v>
      </c>
      <c r="C70" s="5">
        <v>88</v>
      </c>
      <c r="D70" s="5" t="s">
        <v>31</v>
      </c>
      <c r="E70" s="15">
        <v>2324465.8859999999</v>
      </c>
      <c r="F70" s="5">
        <v>2082214000</v>
      </c>
    </row>
    <row r="71" spans="1:6" x14ac:dyDescent="0.2">
      <c r="A71" s="2" t="s">
        <v>194</v>
      </c>
      <c r="B71" s="5" t="s">
        <v>84</v>
      </c>
      <c r="C71" s="5">
        <v>1007</v>
      </c>
      <c r="D71" s="5" t="s">
        <v>37</v>
      </c>
      <c r="E71" s="15">
        <v>0</v>
      </c>
      <c r="F71" s="5">
        <v>2082214000</v>
      </c>
    </row>
    <row r="72" spans="1:6" x14ac:dyDescent="0.2">
      <c r="A72" s="2" t="s">
        <v>195</v>
      </c>
      <c r="B72" s="5" t="s">
        <v>84</v>
      </c>
      <c r="C72" s="5">
        <v>111111</v>
      </c>
      <c r="D72" s="5" t="s">
        <v>94</v>
      </c>
      <c r="E72" s="15">
        <v>51.454999999999998</v>
      </c>
      <c r="F72" s="5">
        <v>2082214000</v>
      </c>
    </row>
    <row r="73" spans="1:6" x14ac:dyDescent="0.2">
      <c r="A73" s="2" t="s">
        <v>211</v>
      </c>
      <c r="B73" s="5" t="s">
        <v>97</v>
      </c>
      <c r="C73" s="5">
        <v>111101</v>
      </c>
      <c r="D73" s="5" t="s">
        <v>0</v>
      </c>
      <c r="E73" s="15">
        <v>0</v>
      </c>
      <c r="F73" s="5">
        <v>2082110000</v>
      </c>
    </row>
    <row r="74" spans="1:6" x14ac:dyDescent="0.2">
      <c r="A74" s="2" t="s">
        <v>160</v>
      </c>
      <c r="B74" s="5" t="s">
        <v>85</v>
      </c>
      <c r="C74" s="5">
        <v>111101</v>
      </c>
      <c r="D74" s="5" t="s">
        <v>0</v>
      </c>
      <c r="E74" s="15">
        <v>2558.1950000000002</v>
      </c>
      <c r="F74" s="5">
        <v>2091200000</v>
      </c>
    </row>
    <row r="75" spans="1:6" x14ac:dyDescent="0.2">
      <c r="A75" s="2" t="s">
        <v>161</v>
      </c>
      <c r="B75" s="5" t="s">
        <v>86</v>
      </c>
      <c r="C75" s="5">
        <v>111101</v>
      </c>
      <c r="D75" s="5" t="s">
        <v>0</v>
      </c>
      <c r="E75" s="15">
        <v>522710.353</v>
      </c>
      <c r="F75" s="5">
        <v>2091200001</v>
      </c>
    </row>
    <row r="76" spans="1:6" x14ac:dyDescent="0.2">
      <c r="A76" s="2" t="s">
        <v>162</v>
      </c>
      <c r="B76" s="5" t="s">
        <v>87</v>
      </c>
      <c r="C76" s="5">
        <v>111101</v>
      </c>
      <c r="D76" s="5" t="s">
        <v>0</v>
      </c>
      <c r="E76" s="15">
        <v>-160303.52199999997</v>
      </c>
      <c r="F76" s="5">
        <v>2092200000</v>
      </c>
    </row>
    <row r="77" spans="1:6" x14ac:dyDescent="0.2">
      <c r="A77" s="2" t="s">
        <v>212</v>
      </c>
      <c r="B77" s="5" t="s">
        <v>28</v>
      </c>
      <c r="C77" s="5">
        <v>111101</v>
      </c>
      <c r="D77" s="5" t="s">
        <v>0</v>
      </c>
      <c r="E77" s="15">
        <v>0</v>
      </c>
      <c r="F77" s="5">
        <v>2111111997</v>
      </c>
    </row>
    <row r="78" spans="1:6" x14ac:dyDescent="0.2">
      <c r="A78" s="2" t="s">
        <v>198</v>
      </c>
      <c r="B78" s="17" t="s">
        <v>60</v>
      </c>
      <c r="C78" s="17">
        <v>111101</v>
      </c>
      <c r="D78" s="17" t="s">
        <v>0</v>
      </c>
      <c r="E78" s="18">
        <v>-779290.47600000002</v>
      </c>
      <c r="F78" s="17">
        <v>2111111999</v>
      </c>
    </row>
    <row r="79" spans="1:6" x14ac:dyDescent="0.2">
      <c r="C79" s="5"/>
    </row>
    <row r="80" spans="1:6" x14ac:dyDescent="0.2">
      <c r="C80" s="5"/>
    </row>
    <row r="81" spans="3:3" x14ac:dyDescent="0.2">
      <c r="C81" s="5"/>
    </row>
    <row r="82" spans="3:3" x14ac:dyDescent="0.2">
      <c r="C82" s="5"/>
    </row>
    <row r="83" spans="3:3" x14ac:dyDescent="0.2">
      <c r="C83" s="5"/>
    </row>
    <row r="84" spans="3:3" x14ac:dyDescent="0.2">
      <c r="C84" s="5"/>
    </row>
    <row r="85" spans="3:3" x14ac:dyDescent="0.2">
      <c r="C85" s="5"/>
    </row>
    <row r="86" spans="3:3" x14ac:dyDescent="0.2">
      <c r="C86" s="5"/>
    </row>
    <row r="87" spans="3:3" x14ac:dyDescent="0.2">
      <c r="C87" s="5"/>
    </row>
    <row r="88" spans="3:3" x14ac:dyDescent="0.2">
      <c r="C88" s="5"/>
    </row>
    <row r="89" spans="3:3" x14ac:dyDescent="0.2">
      <c r="C89" s="5"/>
    </row>
    <row r="90" spans="3:3" x14ac:dyDescent="0.2">
      <c r="C90" s="5"/>
    </row>
    <row r="91" spans="3:3" x14ac:dyDescent="0.2">
      <c r="C91" s="5"/>
    </row>
    <row r="92" spans="3:3" x14ac:dyDescent="0.2">
      <c r="C92" s="5"/>
    </row>
    <row r="93" spans="3:3" x14ac:dyDescent="0.2">
      <c r="C93" s="5"/>
    </row>
    <row r="94" spans="3:3" x14ac:dyDescent="0.2">
      <c r="C94" s="5"/>
    </row>
    <row r="95" spans="3:3" x14ac:dyDescent="0.2">
      <c r="C95" s="5"/>
    </row>
    <row r="96" spans="3:3" x14ac:dyDescent="0.2">
      <c r="C96" s="5"/>
    </row>
    <row r="97" spans="3:3" x14ac:dyDescent="0.2">
      <c r="C97" s="5"/>
    </row>
    <row r="98" spans="3:3" x14ac:dyDescent="0.2">
      <c r="C98" s="5"/>
    </row>
    <row r="99" spans="3:3" x14ac:dyDescent="0.2">
      <c r="C99" s="5"/>
    </row>
    <row r="100" spans="3:3" x14ac:dyDescent="0.2">
      <c r="C100" s="5"/>
    </row>
    <row r="101" spans="3:3" x14ac:dyDescent="0.2">
      <c r="C101" s="5"/>
    </row>
    <row r="102" spans="3:3" x14ac:dyDescent="0.2">
      <c r="C102" s="5"/>
    </row>
    <row r="103" spans="3:3" x14ac:dyDescent="0.2">
      <c r="C103" s="5"/>
    </row>
    <row r="104" spans="3:3" x14ac:dyDescent="0.2">
      <c r="C104" s="5"/>
    </row>
    <row r="105" spans="3:3" x14ac:dyDescent="0.2">
      <c r="C105" s="5"/>
    </row>
    <row r="106" spans="3:3" x14ac:dyDescent="0.2">
      <c r="C106" s="5"/>
    </row>
    <row r="107" spans="3:3" x14ac:dyDescent="0.2">
      <c r="C107" s="5"/>
    </row>
    <row r="108" spans="3:3" x14ac:dyDescent="0.2">
      <c r="C108" s="5"/>
    </row>
    <row r="109" spans="3:3" x14ac:dyDescent="0.2">
      <c r="C109" s="5"/>
    </row>
    <row r="110" spans="3:3" x14ac:dyDescent="0.2">
      <c r="C110" s="5"/>
    </row>
    <row r="111" spans="3:3" x14ac:dyDescent="0.2">
      <c r="C111" s="5"/>
    </row>
    <row r="112" spans="3:3" x14ac:dyDescent="0.2">
      <c r="C112" s="5"/>
    </row>
    <row r="113" spans="3:3" x14ac:dyDescent="0.2">
      <c r="C113" s="5"/>
    </row>
    <row r="114" spans="3:3" x14ac:dyDescent="0.2">
      <c r="C114" s="5"/>
    </row>
    <row r="115" spans="3:3" x14ac:dyDescent="0.2">
      <c r="C115" s="5"/>
    </row>
    <row r="116" spans="3:3" x14ac:dyDescent="0.2">
      <c r="C116" s="5"/>
    </row>
    <row r="117" spans="3:3" x14ac:dyDescent="0.2">
      <c r="C117" s="5"/>
    </row>
  </sheetData>
  <autoFilter ref="B4:F78" xr:uid="{00000000-0009-0000-0000-000005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H137"/>
  <sheetViews>
    <sheetView zoomScale="70" zoomScaleNormal="70" workbookViewId="0"/>
  </sheetViews>
  <sheetFormatPr defaultColWidth="9.140625" defaultRowHeight="12" x14ac:dyDescent="0.2"/>
  <cols>
    <col min="1" max="1" width="17.28515625" style="2" bestFit="1" customWidth="1"/>
    <col min="2" max="2" width="38.5703125" style="2" bestFit="1" customWidth="1"/>
    <col min="3" max="3" width="18.28515625" style="2" bestFit="1" customWidth="1"/>
    <col min="4" max="4" width="27.85546875" style="2" bestFit="1" customWidth="1"/>
    <col min="5" max="7" width="14" style="2" bestFit="1" customWidth="1"/>
    <col min="8" max="8" width="21.7109375" style="2" bestFit="1" customWidth="1"/>
    <col min="9" max="16384" width="9.140625" style="2"/>
  </cols>
  <sheetData>
    <row r="2" spans="1:8" ht="20.25" x14ac:dyDescent="0.3">
      <c r="A2" s="31" t="s">
        <v>164</v>
      </c>
    </row>
    <row r="3" spans="1:8" ht="15.75" x14ac:dyDescent="0.25">
      <c r="A3" s="3"/>
    </row>
    <row r="4" spans="1:8" ht="15.75" x14ac:dyDescent="0.25">
      <c r="A4" s="3"/>
    </row>
    <row r="5" spans="1:8" ht="15.75" x14ac:dyDescent="0.25">
      <c r="A5" s="3"/>
    </row>
    <row r="6" spans="1:8" ht="15.75" x14ac:dyDescent="0.2">
      <c r="A6" s="29" t="s">
        <v>106</v>
      </c>
      <c r="B6" s="29" t="s">
        <v>213</v>
      </c>
      <c r="C6" s="29" t="s">
        <v>30</v>
      </c>
      <c r="D6" s="29" t="s">
        <v>214</v>
      </c>
      <c r="E6" s="29" t="s">
        <v>215</v>
      </c>
      <c r="F6" s="29" t="s">
        <v>216</v>
      </c>
      <c r="G6" s="29" t="s">
        <v>217</v>
      </c>
      <c r="H6" s="29" t="s">
        <v>219</v>
      </c>
    </row>
    <row r="7" spans="1:8" x14ac:dyDescent="0.2">
      <c r="A7" s="5" t="s">
        <v>107</v>
      </c>
      <c r="B7" s="5" t="str">
        <f>_xlfn.XLOOKUP($A7, '1.1 FY2016'!$A$5:$A$61, '1.1 FY2016'!B$5:B$61 )</f>
        <v>Core business revenues</v>
      </c>
      <c r="C7" s="5">
        <f>_xlfn.XLOOKUP($A7, '1.1 FY2016'!$A$5:$A$61, '1.1 FY2016'!C$5:C$61 )</f>
        <v>111111</v>
      </c>
      <c r="D7" s="5" t="str">
        <f>_xlfn.XLOOKUP($A7, '1.1 FY2016'!$A$5:$A$61, '1.1 FY2016'!D$5:D$61 )</f>
        <v>External</v>
      </c>
      <c r="E7" s="30">
        <f>-SUMIF('1.1 FY2016'!$A:$A, '2.1 Database'!A7,'1.1 FY2016'!E:E)</f>
        <v>14500341</v>
      </c>
      <c r="F7" s="30">
        <f>-SUMIF('1.2 FY2017'!A:A,'2.1 Database'!A7,'1.2 FY2017'!E:E)</f>
        <v>15792898.75</v>
      </c>
      <c r="G7" s="30">
        <f>-SUMIF('1.3 FY2018'!A:A,'2.1 Database'!A7,'1.3 FY2018'!E:E)</f>
        <v>14431341</v>
      </c>
      <c r="H7" s="2" t="s">
        <v>220</v>
      </c>
    </row>
    <row r="8" spans="1:8" x14ac:dyDescent="0.2">
      <c r="A8" s="5" t="s">
        <v>108</v>
      </c>
      <c r="B8" s="5" t="str">
        <f>_xlfn.XLOOKUP($A8, '1.1 FY2016'!$A$5:$A$61, '1.1 FY2016'!B$5:B$61 )</f>
        <v>Other revenues</v>
      </c>
      <c r="C8" s="5">
        <f>_xlfn.XLOOKUP($A8, '1.1 FY2016'!$A$5:$A$61, '1.1 FY2016'!C$5:C$61 )</f>
        <v>111111</v>
      </c>
      <c r="D8" s="5" t="str">
        <f>_xlfn.XLOOKUP($A8, '1.1 FY2016'!$A$5:$A$61, '1.1 FY2016'!D$5:D$61 )</f>
        <v>External</v>
      </c>
      <c r="E8" s="30">
        <f>-SUMIF('1.1 FY2016'!$A:$A, '2.1 Database'!A8,'1.1 FY2016'!E:E)</f>
        <v>4794856.1919999998</v>
      </c>
      <c r="F8" s="30">
        <f>-SUMIF('1.2 FY2017'!A:A,'2.1 Database'!A8,'1.2 FY2017'!E:E)</f>
        <v>6960217.6449999996</v>
      </c>
      <c r="G8" s="30">
        <f>-SUMIF('1.3 FY2018'!A:A,'2.1 Database'!A8,'1.3 FY2018'!E:E)</f>
        <v>6373617.5140000004</v>
      </c>
      <c r="H8" s="2" t="s">
        <v>62</v>
      </c>
    </row>
    <row r="9" spans="1:8" x14ac:dyDescent="0.2">
      <c r="A9" s="5" t="s">
        <v>109</v>
      </c>
      <c r="B9" s="5" t="str">
        <f>_xlfn.XLOOKUP($A9, '1.1 FY2016'!$A$5:$A$61, '1.1 FY2016'!B$5:B$61 )</f>
        <v>Capitalized costs</v>
      </c>
      <c r="C9" s="5">
        <f>_xlfn.XLOOKUP($A9, '1.1 FY2016'!$A$5:$A$61, '1.1 FY2016'!C$5:C$61 )</f>
        <v>1009</v>
      </c>
      <c r="D9" s="5" t="str">
        <f>_xlfn.XLOOKUP($A9, '1.1 FY2016'!$A$5:$A$61, '1.1 FY2016'!D$5:D$61 )</f>
        <v>Green Ventures Ltd</v>
      </c>
      <c r="E9" s="30">
        <f>-SUMIF('1.1 FY2016'!$A:$A, '2.1 Database'!A9,'1.1 FY2016'!E:E)</f>
        <v>154890.4</v>
      </c>
      <c r="F9" s="30">
        <f>-SUMIF('1.2 FY2017'!A:A,'2.1 Database'!A9,'1.2 FY2017'!E:E)</f>
        <v>0</v>
      </c>
      <c r="G9" s="30">
        <f>-SUMIF('1.3 FY2018'!A:A,'2.1 Database'!A9,'1.3 FY2018'!E:E)</f>
        <v>0</v>
      </c>
      <c r="H9" s="2" t="s">
        <v>63</v>
      </c>
    </row>
    <row r="10" spans="1:8" x14ac:dyDescent="0.2">
      <c r="A10" s="5" t="s">
        <v>110</v>
      </c>
      <c r="B10" s="5" t="str">
        <f>_xlfn.XLOOKUP($A10, '1.1 FY2016'!$A$5:$A$61, '1.1 FY2016'!B$5:B$61 )</f>
        <v>Capitalized costs</v>
      </c>
      <c r="C10" s="5">
        <f>_xlfn.XLOOKUP($A10, '1.1 FY2016'!$A$5:$A$61, '1.1 FY2016'!C$5:C$61 )</f>
        <v>1007</v>
      </c>
      <c r="D10" s="5" t="str">
        <f>_xlfn.XLOOKUP($A10, '1.1 FY2016'!$A$5:$A$61, '1.1 FY2016'!D$5:D$61 )</f>
        <v>Generco Sunshine JSC</v>
      </c>
      <c r="E10" s="30">
        <f>-SUMIF('1.1 FY2016'!$A:$A, '2.1 Database'!A10,'1.1 FY2016'!E:E)</f>
        <v>1180894.0520000001</v>
      </c>
      <c r="F10" s="30">
        <f>-SUMIF('1.2 FY2017'!A:A,'2.1 Database'!A10,'1.2 FY2017'!E:E)</f>
        <v>89234.880000000005</v>
      </c>
      <c r="G10" s="30">
        <f>-SUMIF('1.3 FY2018'!A:A,'2.1 Database'!A10,'1.3 FY2018'!E:E)</f>
        <v>0</v>
      </c>
      <c r="H10" s="2" t="s">
        <v>63</v>
      </c>
    </row>
    <row r="11" spans="1:8" x14ac:dyDescent="0.2">
      <c r="A11" s="5" t="s">
        <v>111</v>
      </c>
      <c r="B11" s="5" t="str">
        <f>_xlfn.XLOOKUP($A11, '1.1 FY2016'!$A$5:$A$61, '1.1 FY2016'!B$5:B$61 )</f>
        <v>Capitalized costs</v>
      </c>
      <c r="C11" s="5">
        <f>_xlfn.XLOOKUP($A11, '1.1 FY2016'!$A$5:$A$61, '1.1 FY2016'!C$5:C$61 )</f>
        <v>1008</v>
      </c>
      <c r="D11" s="5" t="str">
        <f>_xlfn.XLOOKUP($A11, '1.1 FY2016'!$A$5:$A$61, '1.1 FY2016'!D$5:D$61 )</f>
        <v>Greenco Ltd</v>
      </c>
      <c r="E11" s="30">
        <f>-SUMIF('1.1 FY2016'!$A:$A, '2.1 Database'!A11,'1.1 FY2016'!E:E)</f>
        <v>793079.51199999999</v>
      </c>
      <c r="F11" s="30">
        <f>-SUMIF('1.2 FY2017'!A:A,'2.1 Database'!A11,'1.2 FY2017'!E:E)</f>
        <v>26173</v>
      </c>
      <c r="G11" s="30">
        <f>-SUMIF('1.3 FY2018'!A:A,'2.1 Database'!A11,'1.3 FY2018'!E:E)</f>
        <v>0</v>
      </c>
      <c r="H11" s="2" t="s">
        <v>63</v>
      </c>
    </row>
    <row r="12" spans="1:8" x14ac:dyDescent="0.2">
      <c r="A12" s="5" t="s">
        <v>112</v>
      </c>
      <c r="B12" s="5" t="str">
        <f>_xlfn.XLOOKUP($A12, '1.1 FY2016'!$A$5:$A$61, '1.1 FY2016'!B$5:B$61 )</f>
        <v>Capitalized costs</v>
      </c>
      <c r="C12" s="5">
        <f>_xlfn.XLOOKUP($A12, '1.1 FY2016'!$A$5:$A$61, '1.1 FY2016'!C$5:C$61 )</f>
        <v>111101</v>
      </c>
      <c r="D12" s="5" t="str">
        <f>_xlfn.XLOOKUP($A12, '1.1 FY2016'!$A$5:$A$61, '1.1 FY2016'!D$5:D$61 )</f>
        <v>Not assigned</v>
      </c>
      <c r="E12" s="30">
        <f>-SUMIF('1.1 FY2016'!$A:$A, '2.1 Database'!A12,'1.1 FY2016'!E:E)</f>
        <v>2277197.6</v>
      </c>
      <c r="F12" s="30">
        <f>-SUMIF('1.2 FY2017'!A:A,'2.1 Database'!A12,'1.2 FY2017'!E:E)</f>
        <v>209401.92</v>
      </c>
      <c r="G12" s="30">
        <f>-SUMIF('1.3 FY2018'!A:A,'2.1 Database'!A12,'1.3 FY2018'!E:E)</f>
        <v>0</v>
      </c>
      <c r="H12" s="2" t="s">
        <v>63</v>
      </c>
    </row>
    <row r="13" spans="1:8" x14ac:dyDescent="0.2">
      <c r="A13" s="5" t="s">
        <v>113</v>
      </c>
      <c r="B13" s="5" t="str">
        <f>_xlfn.XLOOKUP($A13, '1.1 FY2016'!$A$5:$A$61, '1.1 FY2016'!B$5:B$61 )</f>
        <v>Direct costs</v>
      </c>
      <c r="C13" s="5">
        <f>_xlfn.XLOOKUP($A13, '1.1 FY2016'!$A$5:$A$61, '1.1 FY2016'!C$5:C$61 )</f>
        <v>111111</v>
      </c>
      <c r="D13" s="5" t="str">
        <f>_xlfn.XLOOKUP($A13, '1.1 FY2016'!$A$5:$A$61, '1.1 FY2016'!D$5:D$61 )</f>
        <v>External</v>
      </c>
      <c r="E13" s="30">
        <f>-SUMIF('1.1 FY2016'!$A:$A, '2.1 Database'!A13,'1.1 FY2016'!E:E)</f>
        <v>-4428911.7640000004</v>
      </c>
      <c r="F13" s="30">
        <f>-SUMIF('1.2 FY2017'!A:A,'2.1 Database'!A13,'1.2 FY2017'!E:E)</f>
        <v>-5463188.8250000002</v>
      </c>
      <c r="G13" s="30">
        <f>-SUMIF('1.3 FY2018'!A:A,'2.1 Database'!A13,'1.3 FY2018'!E:E)</f>
        <v>-5674152.0669999998</v>
      </c>
      <c r="H13" s="2" t="s">
        <v>95</v>
      </c>
    </row>
    <row r="14" spans="1:8" x14ac:dyDescent="0.2">
      <c r="A14" s="5" t="s">
        <v>114</v>
      </c>
      <c r="B14" s="5" t="str">
        <f>_xlfn.XLOOKUP($A14, '1.1 FY2016'!$A$5:$A$61, '1.1 FY2016'!B$5:B$61 )</f>
        <v>Freight outbound expenses</v>
      </c>
      <c r="C14" s="5">
        <f>_xlfn.XLOOKUP($A14, '1.1 FY2016'!$A$5:$A$61, '1.1 FY2016'!C$5:C$61 )</f>
        <v>111111</v>
      </c>
      <c r="D14" s="5" t="str">
        <f>_xlfn.XLOOKUP($A14, '1.1 FY2016'!$A$5:$A$61, '1.1 FY2016'!D$5:D$61 )</f>
        <v>External</v>
      </c>
      <c r="E14" s="30">
        <f>-SUMIF('1.1 FY2016'!$A:$A, '2.1 Database'!A14,'1.1 FY2016'!E:E)</f>
        <v>-16977.628000000001</v>
      </c>
      <c r="F14" s="30">
        <f>-SUMIF('1.2 FY2017'!A:A,'2.1 Database'!A14,'1.2 FY2017'!E:E)</f>
        <v>-343675</v>
      </c>
      <c r="G14" s="30">
        <f>-SUMIF('1.3 FY2018'!A:A,'2.1 Database'!A14,'1.3 FY2018'!E:E)</f>
        <v>-350370.99399999995</v>
      </c>
      <c r="H14" s="2" t="s">
        <v>221</v>
      </c>
    </row>
    <row r="15" spans="1:8" x14ac:dyDescent="0.2">
      <c r="A15" s="5" t="s">
        <v>115</v>
      </c>
      <c r="B15" s="5" t="str">
        <f>_xlfn.XLOOKUP($A15, '1.1 FY2016'!$A$5:$A$61, '1.1 FY2016'!B$5:B$61 )</f>
        <v>R&amp;D expenses</v>
      </c>
      <c r="C15" s="5">
        <f>_xlfn.XLOOKUP($A15, '1.1 FY2016'!$A$5:$A$61, '1.1 FY2016'!C$5:C$61 )</f>
        <v>88</v>
      </c>
      <c r="D15" s="5" t="str">
        <f>_xlfn.XLOOKUP($A15, '1.1 FY2016'!$A$5:$A$61, '1.1 FY2016'!D$5:D$61 )</f>
        <v>Generco Ltd</v>
      </c>
      <c r="E15" s="30">
        <f>-SUMIF('1.1 FY2016'!$A:$A, '2.1 Database'!A15,'1.1 FY2016'!E:E)</f>
        <v>-2245437.54</v>
      </c>
      <c r="F15" s="30">
        <f>-SUMIF('1.2 FY2017'!A:A,'2.1 Database'!A15,'1.2 FY2017'!E:E)</f>
        <v>-1980162.23</v>
      </c>
      <c r="G15" s="30">
        <f>-SUMIF('1.3 FY2018'!A:A,'2.1 Database'!A15,'1.3 FY2018'!E:E)</f>
        <v>-3116017.1540000001</v>
      </c>
      <c r="H15" s="2" t="s">
        <v>221</v>
      </c>
    </row>
    <row r="16" spans="1:8" x14ac:dyDescent="0.2">
      <c r="A16" s="5" t="s">
        <v>116</v>
      </c>
      <c r="B16" s="5" t="str">
        <f>_xlfn.XLOOKUP($A16, '1.1 FY2016'!$A$5:$A$61, '1.1 FY2016'!B$5:B$61 )</f>
        <v>R&amp;D expenses</v>
      </c>
      <c r="C16" s="5">
        <f>_xlfn.XLOOKUP($A16, '1.1 FY2016'!$A$5:$A$61, '1.1 FY2016'!C$5:C$61 )</f>
        <v>111111</v>
      </c>
      <c r="D16" s="5" t="str">
        <f>_xlfn.XLOOKUP($A16, '1.1 FY2016'!$A$5:$A$61, '1.1 FY2016'!D$5:D$61 )</f>
        <v>External</v>
      </c>
      <c r="E16" s="30">
        <f>-SUMIF('1.1 FY2016'!$A:$A, '2.1 Database'!A16,'1.1 FY2016'!E:E)</f>
        <v>-16605.634000000002</v>
      </c>
      <c r="F16" s="30">
        <f>-SUMIF('1.2 FY2017'!A:A,'2.1 Database'!A16,'1.2 FY2017'!E:E)</f>
        <v>-27148.625</v>
      </c>
      <c r="G16" s="30">
        <f>-SUMIF('1.3 FY2018'!A:A,'2.1 Database'!A16,'1.3 FY2018'!E:E)</f>
        <v>-9783.7069999999985</v>
      </c>
      <c r="H16" s="2" t="s">
        <v>221</v>
      </c>
    </row>
    <row r="17" spans="1:8" x14ac:dyDescent="0.2">
      <c r="A17" s="5" t="s">
        <v>117</v>
      </c>
      <c r="B17" s="5" t="str">
        <f>_xlfn.XLOOKUP($A17, '1.1 FY2016'!$A$5:$A$61, '1.1 FY2016'!B$5:B$61 )</f>
        <v>Wages and salaries</v>
      </c>
      <c r="C17" s="5">
        <f>_xlfn.XLOOKUP($A17, '1.1 FY2016'!$A$5:$A$61, '1.1 FY2016'!C$5:C$61 )</f>
        <v>111111</v>
      </c>
      <c r="D17" s="5" t="str">
        <f>_xlfn.XLOOKUP($A17, '1.1 FY2016'!$A$5:$A$61, '1.1 FY2016'!D$5:D$61 )</f>
        <v>External</v>
      </c>
      <c r="E17" s="30">
        <f>-SUMIF('1.1 FY2016'!$A:$A, '2.1 Database'!A17,'1.1 FY2016'!E:E)</f>
        <v>-4683394.0460000001</v>
      </c>
      <c r="F17" s="30">
        <f>-SUMIF('1.2 FY2017'!A:A,'2.1 Database'!A17,'1.2 FY2017'!E:E)</f>
        <v>-5507141.0549999997</v>
      </c>
      <c r="G17" s="30">
        <f>-SUMIF('1.3 FY2018'!A:A,'2.1 Database'!A17,'1.3 FY2018'!E:E)</f>
        <v>-3982699.5329999998</v>
      </c>
      <c r="H17" s="2" t="s">
        <v>222</v>
      </c>
    </row>
    <row r="18" spans="1:8" x14ac:dyDescent="0.2">
      <c r="A18" s="5" t="s">
        <v>118</v>
      </c>
      <c r="B18" s="5" t="str">
        <f>_xlfn.XLOOKUP($A18, '1.1 FY2016'!$A$5:$A$61, '1.1 FY2016'!B$5:B$61 )</f>
        <v>Pension contributions</v>
      </c>
      <c r="C18" s="5">
        <f>_xlfn.XLOOKUP($A18, '1.1 FY2016'!$A$5:$A$61, '1.1 FY2016'!C$5:C$61 )</f>
        <v>111101</v>
      </c>
      <c r="D18" s="5" t="str">
        <f>_xlfn.XLOOKUP($A18, '1.1 FY2016'!$A$5:$A$61, '1.1 FY2016'!D$5:D$61 )</f>
        <v>Not assigned</v>
      </c>
      <c r="E18" s="30">
        <f>-SUMIF('1.1 FY2016'!$A:$A, '2.1 Database'!A18,'1.1 FY2016'!E:E)</f>
        <v>-1143051.5760000001</v>
      </c>
      <c r="F18" s="30">
        <f>-SUMIF('1.2 FY2017'!A:A,'2.1 Database'!A18,'1.2 FY2017'!E:E)</f>
        <v>-2057298.04</v>
      </c>
      <c r="G18" s="30">
        <f>-SUMIF('1.3 FY2018'!A:A,'2.1 Database'!A18,'1.3 FY2018'!E:E)</f>
        <v>-1709688.6429999997</v>
      </c>
      <c r="H18" s="2" t="s">
        <v>222</v>
      </c>
    </row>
    <row r="19" spans="1:8" x14ac:dyDescent="0.2">
      <c r="A19" s="5" t="s">
        <v>119</v>
      </c>
      <c r="B19" s="5" t="str">
        <f>_xlfn.XLOOKUP($A19, '1.1 FY2016'!$A$5:$A$61, '1.1 FY2016'!B$5:B$61 )</f>
        <v>Pension contributions</v>
      </c>
      <c r="C19" s="5">
        <f>_xlfn.XLOOKUP($A19, '1.1 FY2016'!$A$5:$A$61, '1.1 FY2016'!C$5:C$61 )</f>
        <v>88</v>
      </c>
      <c r="D19" s="5" t="str">
        <f>_xlfn.XLOOKUP($A19, '1.1 FY2016'!$A$5:$A$61, '1.1 FY2016'!D$5:D$61 )</f>
        <v>Generco Ltd</v>
      </c>
      <c r="E19" s="30">
        <f>-SUMIF('1.1 FY2016'!$A:$A, '2.1 Database'!A19,'1.1 FY2016'!E:E)</f>
        <v>-239379.61800000002</v>
      </c>
      <c r="F19" s="30">
        <f>-SUMIF('1.2 FY2017'!A:A,'2.1 Database'!A19,'1.2 FY2017'!E:E)</f>
        <v>0</v>
      </c>
      <c r="G19" s="30">
        <f>-SUMIF('1.3 FY2018'!A:A,'2.1 Database'!A19,'1.3 FY2018'!E:E)</f>
        <v>0</v>
      </c>
      <c r="H19" s="2" t="s">
        <v>222</v>
      </c>
    </row>
    <row r="20" spans="1:8" x14ac:dyDescent="0.2">
      <c r="A20" s="5" t="s">
        <v>120</v>
      </c>
      <c r="B20" s="5" t="str">
        <f>_xlfn.XLOOKUP($A20, '1.1 FY2016'!$A$5:$A$61, '1.1 FY2016'!B$5:B$61 )</f>
        <v>Severance indemnity contribution</v>
      </c>
      <c r="C20" s="5">
        <f>_xlfn.XLOOKUP($A20, '1.1 FY2016'!$A$5:$A$61, '1.1 FY2016'!C$5:C$61 )</f>
        <v>111101</v>
      </c>
      <c r="D20" s="5" t="str">
        <f>_xlfn.XLOOKUP($A20, '1.1 FY2016'!$A$5:$A$61, '1.1 FY2016'!D$5:D$61 )</f>
        <v>Not assigned</v>
      </c>
      <c r="E20" s="30">
        <f>-SUMIF('1.1 FY2016'!$A:$A, '2.1 Database'!A20,'1.1 FY2016'!E:E)</f>
        <v>-104913.8</v>
      </c>
      <c r="F20" s="30">
        <f>-SUMIF('1.2 FY2017'!A:A,'2.1 Database'!A20,'1.2 FY2017'!E:E)</f>
        <v>-500500</v>
      </c>
      <c r="G20" s="30">
        <f>-SUMIF('1.3 FY2018'!A:A,'2.1 Database'!A20,'1.3 FY2018'!E:E)</f>
        <v>-143500</v>
      </c>
      <c r="H20" s="2" t="s">
        <v>222</v>
      </c>
    </row>
    <row r="21" spans="1:8" x14ac:dyDescent="0.2">
      <c r="A21" s="5" t="s">
        <v>121</v>
      </c>
      <c r="B21" s="5" t="str">
        <f>_xlfn.XLOOKUP($A21, '1.1 FY2016'!$A$5:$A$61, '1.1 FY2016'!B$5:B$61 )</f>
        <v>D&amp;A</v>
      </c>
      <c r="C21" s="5">
        <f>_xlfn.XLOOKUP($A21, '1.1 FY2016'!$A$5:$A$61, '1.1 FY2016'!C$5:C$61 )</f>
        <v>111101</v>
      </c>
      <c r="D21" s="5" t="str">
        <f>_xlfn.XLOOKUP($A21, '1.1 FY2016'!$A$5:$A$61, '1.1 FY2016'!D$5:D$61 )</f>
        <v>Not assigned</v>
      </c>
      <c r="E21" s="30">
        <f>-SUMIF('1.1 FY2016'!$A:$A, '2.1 Database'!A21,'1.1 FY2016'!E:E)</f>
        <v>-2003262.2180000001</v>
      </c>
      <c r="F21" s="30">
        <f>-SUMIF('1.2 FY2017'!A:A,'2.1 Database'!A21,'1.2 FY2017'!E:E)</f>
        <v>-1897676.87</v>
      </c>
      <c r="G21" s="30">
        <f>-SUMIF('1.3 FY2018'!A:A,'2.1 Database'!A21,'1.3 FY2018'!E:E)</f>
        <v>-1875768.159</v>
      </c>
      <c r="H21" s="2" t="s">
        <v>68</v>
      </c>
    </row>
    <row r="22" spans="1:8" x14ac:dyDescent="0.2">
      <c r="A22" s="5" t="s">
        <v>122</v>
      </c>
      <c r="B22" s="5" t="str">
        <f>_xlfn.XLOOKUP($A22, '1.1 FY2016'!$A$5:$A$61, '1.1 FY2016'!B$5:B$61 )</f>
        <v>D&amp;A</v>
      </c>
      <c r="C22" s="5">
        <f>_xlfn.XLOOKUP($A22, '1.1 FY2016'!$A$5:$A$61, '1.1 FY2016'!C$5:C$61 )</f>
        <v>1</v>
      </c>
      <c r="D22" s="5" t="str">
        <f>_xlfn.XLOOKUP($A22, '1.1 FY2016'!$A$5:$A$61, '1.1 FY2016'!D$5:D$61 )</f>
        <v>Not assigned</v>
      </c>
      <c r="E22" s="30">
        <f>-SUMIF('1.1 FY2016'!$A:$A, '2.1 Database'!A22,'1.1 FY2016'!E:E)</f>
        <v>-41981.296000000002</v>
      </c>
      <c r="F22" s="30">
        <f>-SUMIF('1.2 FY2017'!A:A,'2.1 Database'!A22,'1.2 FY2017'!E:E)</f>
        <v>0</v>
      </c>
      <c r="G22" s="30">
        <f>-SUMIF('1.3 FY2018'!A:A,'2.1 Database'!A22,'1.3 FY2018'!E:E)</f>
        <v>0</v>
      </c>
      <c r="H22" s="2" t="s">
        <v>68</v>
      </c>
    </row>
    <row r="23" spans="1:8" x14ac:dyDescent="0.2">
      <c r="A23" s="5" t="s">
        <v>123</v>
      </c>
      <c r="B23" s="5" t="str">
        <f>_xlfn.XLOOKUP($A23, '1.1 FY2016'!$A$5:$A$61, '1.1 FY2016'!B$5:B$61 )</f>
        <v>Corporate recharges</v>
      </c>
      <c r="C23" s="5" t="str">
        <f>_xlfn.XLOOKUP($A23, '1.1 FY2016'!$A$5:$A$61, '1.1 FY2016'!C$5:C$61 )</f>
        <v>1</v>
      </c>
      <c r="D23" s="5" t="str">
        <f>_xlfn.XLOOKUP($A23, '1.1 FY2016'!$A$5:$A$61, '1.1 FY2016'!D$5:D$61 )</f>
        <v>Greeny Ltd</v>
      </c>
      <c r="E23" s="30">
        <f>-SUMIF('1.1 FY2016'!$A:$A, '2.1 Database'!A23,'1.1 FY2016'!E:E)</f>
        <v>2156147.4</v>
      </c>
      <c r="F23" s="30">
        <f>-SUMIF('1.2 FY2017'!A:A,'2.1 Database'!A23,'1.2 FY2017'!E:E)</f>
        <v>1643711.145</v>
      </c>
      <c r="G23" s="30">
        <f>-SUMIF('1.3 FY2018'!A:A,'2.1 Database'!A23,'1.3 FY2018'!E:E)</f>
        <v>1418521.358</v>
      </c>
      <c r="H23" s="2" t="s">
        <v>223</v>
      </c>
    </row>
    <row r="24" spans="1:8" x14ac:dyDescent="0.2">
      <c r="A24" s="5" t="s">
        <v>124</v>
      </c>
      <c r="B24" s="5" t="str">
        <f>_xlfn.XLOOKUP($A24, '1.1 FY2016'!$A$5:$A$61, '1.1 FY2016'!B$5:B$61 )</f>
        <v>Corporate recharges</v>
      </c>
      <c r="C24" s="5">
        <f>_xlfn.XLOOKUP($A24, '1.1 FY2016'!$A$5:$A$61, '1.1 FY2016'!C$5:C$61 )</f>
        <v>14</v>
      </c>
      <c r="D24" s="5" t="str">
        <f>_xlfn.XLOOKUP($A24, '1.1 FY2016'!$A$5:$A$61, '1.1 FY2016'!D$5:D$61 )</f>
        <v>Generco Cosmetics Ltd</v>
      </c>
      <c r="E24" s="30">
        <f>-SUMIF('1.1 FY2016'!$A:$A, '2.1 Database'!A24,'1.1 FY2016'!E:E)</f>
        <v>291428.55199999997</v>
      </c>
      <c r="F24" s="30">
        <f>-SUMIF('1.2 FY2017'!A:A,'2.1 Database'!A24,'1.2 FY2017'!E:E)</f>
        <v>0</v>
      </c>
      <c r="G24" s="30">
        <f>-SUMIF('1.3 FY2018'!A:A,'2.1 Database'!A24,'1.3 FY2018'!E:E)</f>
        <v>0</v>
      </c>
      <c r="H24" s="2" t="s">
        <v>223</v>
      </c>
    </row>
    <row r="25" spans="1:8" x14ac:dyDescent="0.2">
      <c r="A25" s="5" t="s">
        <v>125</v>
      </c>
      <c r="B25" s="5" t="str">
        <f>_xlfn.XLOOKUP($A25, '1.1 FY2016'!$A$5:$A$61, '1.1 FY2016'!B$5:B$61 )</f>
        <v>Corporate recharges</v>
      </c>
      <c r="C25" s="5">
        <f>_xlfn.XLOOKUP($A25, '1.1 FY2016'!$A$5:$A$61, '1.1 FY2016'!C$5:C$61 )</f>
        <v>1037</v>
      </c>
      <c r="D25" s="5" t="str">
        <f>_xlfn.XLOOKUP($A25, '1.1 FY2016'!$A$5:$A$61, '1.1 FY2016'!D$5:D$61 )</f>
        <v>Generco Canada JSC</v>
      </c>
      <c r="E25" s="30">
        <f>-SUMIF('1.1 FY2016'!$A:$A, '2.1 Database'!A25,'1.1 FY2016'!E:E)</f>
        <v>0</v>
      </c>
      <c r="F25" s="30">
        <f>-SUMIF('1.2 FY2017'!A:A,'2.1 Database'!A25,'1.2 FY2017'!E:E)</f>
        <v>0</v>
      </c>
      <c r="G25" s="30">
        <f>-SUMIF('1.3 FY2018'!A:A,'2.1 Database'!A25,'1.3 FY2018'!E:E)</f>
        <v>0</v>
      </c>
      <c r="H25" s="2" t="s">
        <v>223</v>
      </c>
    </row>
    <row r="26" spans="1:8" x14ac:dyDescent="0.2">
      <c r="A26" s="5" t="s">
        <v>126</v>
      </c>
      <c r="B26" s="5" t="str">
        <f>_xlfn.XLOOKUP($A26, '1.1 FY2016'!$A$5:$A$61, '1.1 FY2016'!B$5:B$61 )</f>
        <v>Corporate recharges</v>
      </c>
      <c r="C26" s="5" t="str">
        <f>_xlfn.XLOOKUP($A26, '1.1 FY2016'!$A$5:$A$61, '1.1 FY2016'!C$5:C$61 )</f>
        <v>1087</v>
      </c>
      <c r="D26" s="5" t="str">
        <f>_xlfn.XLOOKUP($A26, '1.1 FY2016'!$A$5:$A$61, '1.1 FY2016'!D$5:D$61 )</f>
        <v>Gener Beauty GmbH</v>
      </c>
      <c r="E26" s="30">
        <f>-SUMIF('1.1 FY2016'!$A:$A, '2.1 Database'!A26,'1.1 FY2016'!E:E)</f>
        <v>33736.5</v>
      </c>
      <c r="F26" s="30">
        <f>-SUMIF('1.2 FY2017'!A:A,'2.1 Database'!A26,'1.2 FY2017'!E:E)</f>
        <v>0</v>
      </c>
      <c r="G26" s="30">
        <f>-SUMIF('1.3 FY2018'!A:A,'2.1 Database'!A26,'1.3 FY2018'!E:E)</f>
        <v>0</v>
      </c>
      <c r="H26" s="2" t="s">
        <v>223</v>
      </c>
    </row>
    <row r="27" spans="1:8" x14ac:dyDescent="0.2">
      <c r="A27" s="5" t="s">
        <v>127</v>
      </c>
      <c r="B27" s="5" t="str">
        <f>_xlfn.XLOOKUP($A27, '1.1 FY2016'!$A$5:$A$61, '1.1 FY2016'!B$5:B$61 )</f>
        <v>Corporate recharges</v>
      </c>
      <c r="C27" s="5">
        <f>_xlfn.XLOOKUP($A27, '1.1 FY2016'!$A$5:$A$61, '1.1 FY2016'!C$5:C$61 )</f>
        <v>1009</v>
      </c>
      <c r="D27" s="5" t="str">
        <f>_xlfn.XLOOKUP($A27, '1.1 FY2016'!$A$5:$A$61, '1.1 FY2016'!D$5:D$61 )</f>
        <v>Green Ventures Ltd</v>
      </c>
      <c r="E27" s="30">
        <f>-SUMIF('1.1 FY2016'!$A:$A, '2.1 Database'!A27,'1.1 FY2016'!E:E)</f>
        <v>0</v>
      </c>
      <c r="F27" s="30">
        <f>-SUMIF('1.2 FY2017'!A:A,'2.1 Database'!A27,'1.2 FY2017'!E:E)</f>
        <v>0</v>
      </c>
      <c r="G27" s="30">
        <f>-SUMIF('1.3 FY2018'!A:A,'2.1 Database'!A27,'1.3 FY2018'!E:E)</f>
        <v>0</v>
      </c>
      <c r="H27" s="2" t="s">
        <v>223</v>
      </c>
    </row>
    <row r="28" spans="1:8" x14ac:dyDescent="0.2">
      <c r="A28" s="5" t="s">
        <v>128</v>
      </c>
      <c r="B28" s="5" t="str">
        <f>_xlfn.XLOOKUP($A28, '1.1 FY2016'!$A$5:$A$61, '1.1 FY2016'!B$5:B$61 )</f>
        <v>Corporate recharges</v>
      </c>
      <c r="C28" s="5">
        <f>_xlfn.XLOOKUP($A28, '1.1 FY2016'!$A$5:$A$61, '1.1 FY2016'!C$5:C$61 )</f>
        <v>1007</v>
      </c>
      <c r="D28" s="5" t="str">
        <f>_xlfn.XLOOKUP($A28, '1.1 FY2016'!$A$5:$A$61, '1.1 FY2016'!D$5:D$61 )</f>
        <v>Generco Sunshine JSC</v>
      </c>
      <c r="E28" s="30">
        <f>-SUMIF('1.1 FY2016'!$A:$A, '2.1 Database'!A28,'1.1 FY2016'!E:E)</f>
        <v>0</v>
      </c>
      <c r="F28" s="30">
        <f>-SUMIF('1.2 FY2017'!A:A,'2.1 Database'!A28,'1.2 FY2017'!E:E)</f>
        <v>0</v>
      </c>
      <c r="G28" s="30">
        <f>-SUMIF('1.3 FY2018'!A:A,'2.1 Database'!A28,'1.3 FY2018'!E:E)</f>
        <v>0</v>
      </c>
      <c r="H28" s="2" t="s">
        <v>223</v>
      </c>
    </row>
    <row r="29" spans="1:8" x14ac:dyDescent="0.2">
      <c r="A29" s="5" t="s">
        <v>129</v>
      </c>
      <c r="B29" s="5" t="str">
        <f>_xlfn.XLOOKUP($A29, '1.1 FY2016'!$A$5:$A$61, '1.1 FY2016'!B$5:B$61 )</f>
        <v>Corporate recharges</v>
      </c>
      <c r="C29" s="5">
        <f>_xlfn.XLOOKUP($A29, '1.1 FY2016'!$A$5:$A$61, '1.1 FY2016'!C$5:C$61 )</f>
        <v>1008</v>
      </c>
      <c r="D29" s="5" t="str">
        <f>_xlfn.XLOOKUP($A29, '1.1 FY2016'!$A$5:$A$61, '1.1 FY2016'!D$5:D$61 )</f>
        <v>Greenco Ltd</v>
      </c>
      <c r="E29" s="30">
        <f>-SUMIF('1.1 FY2016'!$A:$A, '2.1 Database'!A29,'1.1 FY2016'!E:E)</f>
        <v>0</v>
      </c>
      <c r="F29" s="30">
        <f>-SUMIF('1.2 FY2017'!A:A,'2.1 Database'!A29,'1.2 FY2017'!E:E)</f>
        <v>0</v>
      </c>
      <c r="G29" s="30">
        <f>-SUMIF('1.3 FY2018'!A:A,'2.1 Database'!A29,'1.3 FY2018'!E:E)</f>
        <v>0</v>
      </c>
      <c r="H29" s="2" t="s">
        <v>223</v>
      </c>
    </row>
    <row r="30" spans="1:8" x14ac:dyDescent="0.2">
      <c r="A30" s="5" t="s">
        <v>130</v>
      </c>
      <c r="B30" s="5" t="str">
        <f>_xlfn.XLOOKUP($A30, '1.1 FY2016'!$A$5:$A$61, '1.1 FY2016'!B$5:B$61 )</f>
        <v>Corporate recharges</v>
      </c>
      <c r="C30" s="5">
        <f>_xlfn.XLOOKUP($A30, '1.1 FY2016'!$A$5:$A$61, '1.1 FY2016'!C$5:C$61 )</f>
        <v>1240</v>
      </c>
      <c r="D30" s="5" t="str">
        <f>_xlfn.XLOOKUP($A30, '1.1 FY2016'!$A$5:$A$61, '1.1 FY2016'!D$5:D$61 )</f>
        <v xml:space="preserve">Generco UK </v>
      </c>
      <c r="E30" s="30">
        <f>-SUMIF('1.1 FY2016'!$A:$A, '2.1 Database'!A30,'1.1 FY2016'!E:E)</f>
        <v>199600.4</v>
      </c>
      <c r="F30" s="30">
        <f>-SUMIF('1.2 FY2017'!A:A,'2.1 Database'!A30,'1.2 FY2017'!E:E)</f>
        <v>10461.36</v>
      </c>
      <c r="G30" s="30">
        <f>-SUMIF('1.3 FY2018'!A:A,'2.1 Database'!A30,'1.3 FY2018'!E:E)</f>
        <v>0</v>
      </c>
      <c r="H30" s="2" t="s">
        <v>223</v>
      </c>
    </row>
    <row r="31" spans="1:8" x14ac:dyDescent="0.2">
      <c r="A31" s="5" t="s">
        <v>131</v>
      </c>
      <c r="B31" s="5" t="str">
        <f>_xlfn.XLOOKUP($A31, '1.1 FY2016'!$A$5:$A$61, '1.1 FY2016'!B$5:B$61 )</f>
        <v>Corporate recharges</v>
      </c>
      <c r="C31" s="5">
        <f>_xlfn.XLOOKUP($A31, '1.1 FY2016'!$A$5:$A$61, '1.1 FY2016'!C$5:C$61 )</f>
        <v>111111</v>
      </c>
      <c r="D31" s="5" t="str">
        <f>_xlfn.XLOOKUP($A31, '1.1 FY2016'!$A$5:$A$61, '1.1 FY2016'!D$5:D$61 )</f>
        <v>External</v>
      </c>
      <c r="E31" s="30">
        <f>-SUMIF('1.1 FY2016'!$A:$A, '2.1 Database'!A31,'1.1 FY2016'!E:E)</f>
        <v>539141.4</v>
      </c>
      <c r="F31" s="30">
        <f>-SUMIF('1.2 FY2017'!A:A,'2.1 Database'!A31,'1.2 FY2017'!E:E)</f>
        <v>6785.94</v>
      </c>
      <c r="G31" s="30">
        <f>-SUMIF('1.3 FY2018'!A:A,'2.1 Database'!A31,'1.3 FY2018'!E:E)</f>
        <v>902857.84299999999</v>
      </c>
      <c r="H31" s="2" t="s">
        <v>223</v>
      </c>
    </row>
    <row r="32" spans="1:8" x14ac:dyDescent="0.2">
      <c r="A32" s="5" t="s">
        <v>132</v>
      </c>
      <c r="B32" s="5" t="str">
        <f>_xlfn.XLOOKUP($A32, '1.1 FY2016'!$A$5:$A$61, '1.1 FY2016'!B$5:B$61 )</f>
        <v>Other income</v>
      </c>
      <c r="C32" s="5">
        <f>_xlfn.XLOOKUP($A32, '1.1 FY2016'!$A$5:$A$61, '1.1 FY2016'!C$5:C$61 )</f>
        <v>111111</v>
      </c>
      <c r="D32" s="5" t="str">
        <f>_xlfn.XLOOKUP($A32, '1.1 FY2016'!$A$5:$A$61, '1.1 FY2016'!D$5:D$61 )</f>
        <v>External</v>
      </c>
      <c r="E32" s="30">
        <f>-SUMIF('1.1 FY2016'!$A:$A, '2.1 Database'!A32,'1.1 FY2016'!E:E)</f>
        <v>57.221999999999994</v>
      </c>
      <c r="F32" s="30">
        <f>-SUMIF('1.2 FY2017'!A:A,'2.1 Database'!A32,'1.2 FY2017'!E:E)</f>
        <v>-9793.84</v>
      </c>
      <c r="G32" s="30">
        <f>-SUMIF('1.3 FY2018'!A:A,'2.1 Database'!A32,'1.3 FY2018'!E:E)</f>
        <v>15872.001999999999</v>
      </c>
      <c r="H32" s="2" t="s">
        <v>70</v>
      </c>
    </row>
    <row r="33" spans="1:8" x14ac:dyDescent="0.2">
      <c r="A33" s="5" t="s">
        <v>133</v>
      </c>
      <c r="B33" s="5" t="str">
        <f>_xlfn.XLOOKUP($A33, '1.1 FY2016'!$A$5:$A$61, '1.1 FY2016'!B$5:B$61 )</f>
        <v>Marketing expenses</v>
      </c>
      <c r="C33" s="5">
        <f>_xlfn.XLOOKUP($A33, '1.1 FY2016'!$A$5:$A$61, '1.1 FY2016'!C$5:C$61 )</f>
        <v>111111</v>
      </c>
      <c r="D33" s="5" t="str">
        <f>_xlfn.XLOOKUP($A33, '1.1 FY2016'!$A$5:$A$61, '1.1 FY2016'!D$5:D$61 )</f>
        <v>External</v>
      </c>
      <c r="E33" s="30">
        <f>-SUMIF('1.1 FY2016'!$A:$A, '2.1 Database'!A33,'1.1 FY2016'!E:E)</f>
        <v>-22314.879999999997</v>
      </c>
      <c r="F33" s="30">
        <f>-SUMIF('1.2 FY2017'!A:A,'2.1 Database'!A33,'1.2 FY2017'!E:E)</f>
        <v>-65947.7</v>
      </c>
      <c r="G33" s="30">
        <f>-SUMIF('1.3 FY2018'!A:A,'2.1 Database'!A33,'1.3 FY2018'!E:E)</f>
        <v>-57.317999999999998</v>
      </c>
      <c r="H33" s="2" t="s">
        <v>221</v>
      </c>
    </row>
    <row r="34" spans="1:8" x14ac:dyDescent="0.2">
      <c r="A34" s="5" t="s">
        <v>134</v>
      </c>
      <c r="B34" s="5" t="str">
        <f>_xlfn.XLOOKUP($A34, '1.1 FY2016'!$A$5:$A$61, '1.1 FY2016'!B$5:B$61 )</f>
        <v>Software&amp;IT</v>
      </c>
      <c r="C34" s="5">
        <f>_xlfn.XLOOKUP($A34, '1.1 FY2016'!$A$5:$A$61, '1.1 FY2016'!C$5:C$61 )</f>
        <v>88</v>
      </c>
      <c r="D34" s="5" t="str">
        <f>_xlfn.XLOOKUP($A34, '1.1 FY2016'!$A$5:$A$61, '1.1 FY2016'!D$5:D$61 )</f>
        <v>Generco Ltd</v>
      </c>
      <c r="E34" s="30">
        <f>-SUMIF('1.1 FY2016'!$A:$A, '2.1 Database'!A34,'1.1 FY2016'!E:E)</f>
        <v>-204000</v>
      </c>
      <c r="F34" s="30">
        <f>-SUMIF('1.2 FY2017'!A:A,'2.1 Database'!A34,'1.2 FY2017'!E:E)</f>
        <v>0</v>
      </c>
      <c r="G34" s="30">
        <f>-SUMIF('1.3 FY2018'!A:A,'2.1 Database'!A34,'1.3 FY2018'!E:E)</f>
        <v>0</v>
      </c>
      <c r="H34" s="2" t="s">
        <v>221</v>
      </c>
    </row>
    <row r="35" spans="1:8" x14ac:dyDescent="0.2">
      <c r="A35" s="5" t="s">
        <v>135</v>
      </c>
      <c r="B35" s="5" t="str">
        <f>_xlfn.XLOOKUP($A35, '1.1 FY2016'!$A$5:$A$61, '1.1 FY2016'!B$5:B$61 )</f>
        <v>Software&amp;IT</v>
      </c>
      <c r="C35" s="5">
        <f>_xlfn.XLOOKUP($A35, '1.1 FY2016'!$A$5:$A$61, '1.1 FY2016'!C$5:C$61 )</f>
        <v>111111</v>
      </c>
      <c r="D35" s="5" t="str">
        <f>_xlfn.XLOOKUP($A35, '1.1 FY2016'!$A$5:$A$61, '1.1 FY2016'!D$5:D$61 )</f>
        <v>External</v>
      </c>
      <c r="E35" s="30">
        <f>-SUMIF('1.1 FY2016'!$A:$A, '2.1 Database'!A35,'1.1 FY2016'!E:E)</f>
        <v>-138.41399999999999</v>
      </c>
      <c r="F35" s="30">
        <f>-SUMIF('1.2 FY2017'!A:A,'2.1 Database'!A35,'1.2 FY2017'!E:E)</f>
        <v>-5138.91</v>
      </c>
      <c r="G35" s="30">
        <f>-SUMIF('1.3 FY2018'!A:A,'2.1 Database'!A35,'1.3 FY2018'!E:E)</f>
        <v>-19198.66</v>
      </c>
      <c r="H35" s="2" t="s">
        <v>221</v>
      </c>
    </row>
    <row r="36" spans="1:8" x14ac:dyDescent="0.2">
      <c r="A36" s="5" t="s">
        <v>136</v>
      </c>
      <c r="B36" s="5" t="str">
        <f>_xlfn.XLOOKUP($A36, '1.1 FY2016'!$A$5:$A$61, '1.1 FY2016'!B$5:B$61 )</f>
        <v>Leasings</v>
      </c>
      <c r="C36" s="5">
        <f>_xlfn.XLOOKUP($A36, '1.1 FY2016'!$A$5:$A$61, '1.1 FY2016'!C$5:C$61 )</f>
        <v>111111</v>
      </c>
      <c r="D36" s="5" t="str">
        <f>_xlfn.XLOOKUP($A36, '1.1 FY2016'!$A$5:$A$61, '1.1 FY2016'!D$5:D$61 )</f>
        <v>External</v>
      </c>
      <c r="E36" s="30">
        <f>-SUMIF('1.1 FY2016'!$A:$A, '2.1 Database'!A36,'1.1 FY2016'!E:E)</f>
        <v>-1127445.872</v>
      </c>
      <c r="F36" s="30">
        <f>-SUMIF('1.2 FY2017'!A:A,'2.1 Database'!A36,'1.2 FY2017'!E:E)</f>
        <v>-1055381.4750000001</v>
      </c>
      <c r="G36" s="30">
        <f>-SUMIF('1.3 FY2018'!A:A,'2.1 Database'!A36,'1.3 FY2018'!E:E)</f>
        <v>172933.44899999999</v>
      </c>
      <c r="H36" s="2" t="s">
        <v>224</v>
      </c>
    </row>
    <row r="37" spans="1:8" x14ac:dyDescent="0.2">
      <c r="A37" s="5" t="s">
        <v>137</v>
      </c>
      <c r="B37" s="5" t="str">
        <f>_xlfn.XLOOKUP($A37, '1.1 FY2016'!$A$5:$A$61, '1.1 FY2016'!B$5:B$61 )</f>
        <v>Service expenses</v>
      </c>
      <c r="C37" s="5" t="str">
        <f>_xlfn.XLOOKUP($A37, '1.1 FY2016'!$A$5:$A$61, '1.1 FY2016'!C$5:C$61 )</f>
        <v>43</v>
      </c>
      <c r="D37" s="5" t="str">
        <f>_xlfn.XLOOKUP($A37, '1.1 FY2016'!$A$5:$A$61, '1.1 FY2016'!D$5:D$61 )</f>
        <v>Greeny France SL</v>
      </c>
      <c r="E37" s="30">
        <f>-SUMIF('1.1 FY2016'!$A:$A, '2.1 Database'!A37,'1.1 FY2016'!E:E)</f>
        <v>-133722</v>
      </c>
      <c r="F37" s="30">
        <f>-SUMIF('1.2 FY2017'!A:A,'2.1 Database'!A37,'1.2 FY2017'!E:E)</f>
        <v>0</v>
      </c>
      <c r="G37" s="30">
        <f>-SUMIF('1.3 FY2018'!A:A,'2.1 Database'!A37,'1.3 FY2018'!E:E)</f>
        <v>0</v>
      </c>
      <c r="H37" s="2" t="s">
        <v>225</v>
      </c>
    </row>
    <row r="38" spans="1:8" x14ac:dyDescent="0.2">
      <c r="A38" s="5" t="s">
        <v>138</v>
      </c>
      <c r="B38" s="5" t="str">
        <f>_xlfn.XLOOKUP($A38, '1.1 FY2016'!$A$5:$A$61, '1.1 FY2016'!B$5:B$61 )</f>
        <v>Service expenses</v>
      </c>
      <c r="C38" s="5" t="str">
        <f>_xlfn.XLOOKUP($A38, '1.1 FY2016'!$A$5:$A$61, '1.1 FY2016'!C$5:C$61 )</f>
        <v>2240</v>
      </c>
      <c r="D38" s="5" t="str">
        <f>_xlfn.XLOOKUP($A38, '1.1 FY2016'!$A$5:$A$61, '1.1 FY2016'!D$5:D$61 )</f>
        <v>Greeny Germany GmbH</v>
      </c>
      <c r="E38" s="30">
        <f>-SUMIF('1.1 FY2016'!$A:$A, '2.1 Database'!A38,'1.1 FY2016'!E:E)</f>
        <v>-328061.886</v>
      </c>
      <c r="F38" s="30">
        <f>-SUMIF('1.2 FY2017'!A:A,'2.1 Database'!A38,'1.2 FY2017'!E:E)</f>
        <v>-430845.34499999997</v>
      </c>
      <c r="G38" s="30">
        <f>-SUMIF('1.3 FY2018'!A:A,'2.1 Database'!A38,'1.3 FY2018'!E:E)</f>
        <v>0</v>
      </c>
      <c r="H38" s="2" t="s">
        <v>225</v>
      </c>
    </row>
    <row r="39" spans="1:8" x14ac:dyDescent="0.2">
      <c r="A39" s="5" t="s">
        <v>139</v>
      </c>
      <c r="B39" s="5" t="str">
        <f>_xlfn.XLOOKUP($A39, '1.1 FY2016'!$A$5:$A$61, '1.1 FY2016'!B$5:B$61 )</f>
        <v>Service expenses</v>
      </c>
      <c r="C39" s="5">
        <f>_xlfn.XLOOKUP($A39, '1.1 FY2016'!$A$5:$A$61, '1.1 FY2016'!C$5:C$61 )</f>
        <v>111111</v>
      </c>
      <c r="D39" s="5" t="str">
        <f>_xlfn.XLOOKUP($A39, '1.1 FY2016'!$A$5:$A$61, '1.1 FY2016'!D$5:D$61 )</f>
        <v>External</v>
      </c>
      <c r="E39" s="30">
        <f>-SUMIF('1.1 FY2016'!$A:$A, '2.1 Database'!A39,'1.1 FY2016'!E:E)</f>
        <v>-2081304.3219999997</v>
      </c>
      <c r="F39" s="30">
        <f>-SUMIF('1.2 FY2017'!A:A,'2.1 Database'!A39,'1.2 FY2017'!E:E)</f>
        <v>-1130021</v>
      </c>
      <c r="G39" s="30">
        <f>-SUMIF('1.3 FY2018'!A:A,'2.1 Database'!A39,'1.3 FY2018'!E:E)</f>
        <v>-1481408.47</v>
      </c>
      <c r="H39" s="2" t="s">
        <v>225</v>
      </c>
    </row>
    <row r="40" spans="1:8" x14ac:dyDescent="0.2">
      <c r="A40" s="5" t="s">
        <v>140</v>
      </c>
      <c r="B40" s="5" t="str">
        <f>_xlfn.XLOOKUP($A40, '1.1 FY2016'!$A$5:$A$61, '1.1 FY2016'!B$5:B$61 )</f>
        <v>Charges and contributions</v>
      </c>
      <c r="C40" s="5">
        <f>_xlfn.XLOOKUP($A40, '1.1 FY2016'!$A$5:$A$61, '1.1 FY2016'!C$5:C$61 )</f>
        <v>111111</v>
      </c>
      <c r="D40" s="5" t="str">
        <f>_xlfn.XLOOKUP($A40, '1.1 FY2016'!$A$5:$A$61, '1.1 FY2016'!D$5:D$61 )</f>
        <v>External</v>
      </c>
      <c r="E40" s="30">
        <f>-SUMIF('1.1 FY2016'!$A:$A, '2.1 Database'!A40,'1.1 FY2016'!E:E)</f>
        <v>-33410.031999999999</v>
      </c>
      <c r="F40" s="30">
        <f>-SUMIF('1.2 FY2017'!A:A,'2.1 Database'!A40,'1.2 FY2017'!E:E)</f>
        <v>-7293.5450000000001</v>
      </c>
      <c r="G40" s="30">
        <f>-SUMIF('1.3 FY2018'!A:A,'2.1 Database'!A40,'1.3 FY2018'!E:E)</f>
        <v>-40048.799999999996</v>
      </c>
      <c r="H40" s="2" t="s">
        <v>221</v>
      </c>
    </row>
    <row r="41" spans="1:8" x14ac:dyDescent="0.2">
      <c r="A41" s="5" t="s">
        <v>141</v>
      </c>
      <c r="B41" s="5" t="str">
        <f>_xlfn.XLOOKUP($A41, '1.1 FY2016'!$A$5:$A$61, '1.1 FY2016'!B$5:B$61 )</f>
        <v>Insurance expenses</v>
      </c>
      <c r="C41" s="5">
        <f>_xlfn.XLOOKUP($A41, '1.1 FY2016'!$A$5:$A$61, '1.1 FY2016'!C$5:C$61 )</f>
        <v>111111</v>
      </c>
      <c r="D41" s="5" t="str">
        <f>_xlfn.XLOOKUP($A41, '1.1 FY2016'!$A$5:$A$61, '1.1 FY2016'!D$5:D$61 )</f>
        <v>External</v>
      </c>
      <c r="E41" s="30">
        <f>-SUMIF('1.1 FY2016'!$A:$A, '2.1 Database'!A41,'1.1 FY2016'!E:E)</f>
        <v>-213090.85199999998</v>
      </c>
      <c r="F41" s="30">
        <f>-SUMIF('1.2 FY2017'!A:A,'2.1 Database'!A41,'1.2 FY2017'!E:E)</f>
        <v>-48468.665000000001</v>
      </c>
      <c r="G41" s="30">
        <f>-SUMIF('1.3 FY2018'!A:A,'2.1 Database'!A41,'1.3 FY2018'!E:E)</f>
        <v>-64039.82699999999</v>
      </c>
      <c r="H41" s="2" t="s">
        <v>221</v>
      </c>
    </row>
    <row r="42" spans="1:8" x14ac:dyDescent="0.2">
      <c r="A42" s="5" t="s">
        <v>142</v>
      </c>
      <c r="B42" s="5" t="str">
        <f>_xlfn.XLOOKUP($A42, '1.1 FY2016'!$A$5:$A$61, '1.1 FY2016'!B$5:B$61 )</f>
        <v>Travel expenses</v>
      </c>
      <c r="C42" s="5">
        <f>_xlfn.XLOOKUP($A42, '1.1 FY2016'!$A$5:$A$61, '1.1 FY2016'!C$5:C$61 )</f>
        <v>111111</v>
      </c>
      <c r="D42" s="5" t="str">
        <f>_xlfn.XLOOKUP($A42, '1.1 FY2016'!$A$5:$A$61, '1.1 FY2016'!D$5:D$61 )</f>
        <v>External</v>
      </c>
      <c r="E42" s="30">
        <f>-SUMIF('1.1 FY2016'!$A:$A, '2.1 Database'!A42,'1.1 FY2016'!E:E)</f>
        <v>-1813525.004</v>
      </c>
      <c r="F42" s="30">
        <f>-SUMIF('1.2 FY2017'!A:A,'2.1 Database'!A42,'1.2 FY2017'!E:E)</f>
        <v>-2393259.19</v>
      </c>
      <c r="G42" s="30">
        <f>-SUMIF('1.3 FY2018'!A:A,'2.1 Database'!A42,'1.3 FY2018'!E:E)</f>
        <v>-2514431.8869999996</v>
      </c>
      <c r="H42" s="2" t="s">
        <v>226</v>
      </c>
    </row>
    <row r="43" spans="1:8" x14ac:dyDescent="0.2">
      <c r="A43" s="5" t="s">
        <v>143</v>
      </c>
      <c r="B43" s="5" t="str">
        <f>_xlfn.XLOOKUP($A43, '1.1 FY2016'!$A$5:$A$61, '1.1 FY2016'!B$5:B$61 )</f>
        <v>Utility expenses</v>
      </c>
      <c r="C43" s="5">
        <f>_xlfn.XLOOKUP($A43, '1.1 FY2016'!$A$5:$A$61, '1.1 FY2016'!C$5:C$61 )</f>
        <v>111111</v>
      </c>
      <c r="D43" s="5" t="str">
        <f>_xlfn.XLOOKUP($A43, '1.1 FY2016'!$A$5:$A$61, '1.1 FY2016'!D$5:D$61 )</f>
        <v>External</v>
      </c>
      <c r="E43" s="30">
        <f>-SUMIF('1.1 FY2016'!$A:$A, '2.1 Database'!A43,'1.1 FY2016'!E:E)</f>
        <v>-5552.2</v>
      </c>
      <c r="F43" s="30">
        <f>-SUMIF('1.2 FY2017'!A:A,'2.1 Database'!A43,'1.2 FY2017'!E:E)</f>
        <v>-23069.654999999999</v>
      </c>
      <c r="G43" s="30">
        <f>-SUMIF('1.3 FY2018'!A:A,'2.1 Database'!A43,'1.3 FY2018'!E:E)</f>
        <v>-4194.2999999999993</v>
      </c>
      <c r="H43" s="2" t="s">
        <v>221</v>
      </c>
    </row>
    <row r="44" spans="1:8" x14ac:dyDescent="0.2">
      <c r="A44" s="5" t="s">
        <v>144</v>
      </c>
      <c r="B44" s="5" t="str">
        <f>_xlfn.XLOOKUP($A44, '1.1 FY2016'!$A$5:$A$61, '1.1 FY2016'!B$5:B$61 )</f>
        <v>Legal expenses</v>
      </c>
      <c r="C44" s="5">
        <f>_xlfn.XLOOKUP($A44, '1.1 FY2016'!$A$5:$A$61, '1.1 FY2016'!C$5:C$61 )</f>
        <v>111111</v>
      </c>
      <c r="D44" s="5" t="str">
        <f>_xlfn.XLOOKUP($A44, '1.1 FY2016'!$A$5:$A$61, '1.1 FY2016'!D$5:D$61 )</f>
        <v>External</v>
      </c>
      <c r="E44" s="30">
        <f>-SUMIF('1.1 FY2016'!$A:$A, '2.1 Database'!A44,'1.1 FY2016'!E:E)</f>
        <v>-43868.975999999995</v>
      </c>
      <c r="F44" s="30">
        <f>-SUMIF('1.2 FY2017'!A:A,'2.1 Database'!A44,'1.2 FY2017'!E:E)</f>
        <v>-208366.935</v>
      </c>
      <c r="G44" s="30">
        <f>-SUMIF('1.3 FY2018'!A:A,'2.1 Database'!A44,'1.3 FY2018'!E:E)</f>
        <v>-106525.708</v>
      </c>
      <c r="H44" s="2" t="s">
        <v>221</v>
      </c>
    </row>
    <row r="45" spans="1:8" x14ac:dyDescent="0.2">
      <c r="A45" s="5" t="s">
        <v>145</v>
      </c>
      <c r="B45" s="5" t="str">
        <f>_xlfn.XLOOKUP($A45, '1.1 FY2016'!$A$5:$A$61, '1.1 FY2016'!B$5:B$61 )</f>
        <v>Misc costs</v>
      </c>
      <c r="C45" s="5">
        <f>_xlfn.XLOOKUP($A45, '1.1 FY2016'!$A$5:$A$61, '1.1 FY2016'!C$5:C$61 )</f>
        <v>111101</v>
      </c>
      <c r="D45" s="5" t="str">
        <f>_xlfn.XLOOKUP($A45, '1.1 FY2016'!$A$5:$A$61, '1.1 FY2016'!D$5:D$61 )</f>
        <v>Not assigned</v>
      </c>
      <c r="E45" s="30">
        <f>-SUMIF('1.1 FY2016'!$A:$A, '2.1 Database'!A45,'1.1 FY2016'!E:E)</f>
        <v>-10934.671999999999</v>
      </c>
      <c r="F45" s="30">
        <f>-SUMIF('1.2 FY2017'!A:A,'2.1 Database'!A45,'1.2 FY2017'!E:E)</f>
        <v>-20323.309999999998</v>
      </c>
      <c r="G45" s="30">
        <f>-SUMIF('1.3 FY2018'!A:A,'2.1 Database'!A45,'1.3 FY2018'!E:E)</f>
        <v>-109811.284</v>
      </c>
      <c r="H45" s="2" t="s">
        <v>221</v>
      </c>
    </row>
    <row r="46" spans="1:8" x14ac:dyDescent="0.2">
      <c r="A46" s="5" t="s">
        <v>146</v>
      </c>
      <c r="B46" s="5" t="str">
        <f>_xlfn.XLOOKUP($A46, '1.1 FY2016'!$A$5:$A$61, '1.1 FY2016'!B$5:B$61 )</f>
        <v>Consulting fees</v>
      </c>
      <c r="C46" s="5">
        <f>_xlfn.XLOOKUP($A46, '1.1 FY2016'!$A$5:$A$61, '1.1 FY2016'!C$5:C$61 )</f>
        <v>111111</v>
      </c>
      <c r="D46" s="5" t="str">
        <f>_xlfn.XLOOKUP($A46, '1.1 FY2016'!$A$5:$A$61, '1.1 FY2016'!D$5:D$61 )</f>
        <v>External</v>
      </c>
      <c r="E46" s="30">
        <f>-SUMIF('1.1 FY2016'!$A:$A, '2.1 Database'!A46,'1.1 FY2016'!E:E)</f>
        <v>-20400</v>
      </c>
      <c r="F46" s="30">
        <f>-SUMIF('1.2 FY2017'!A:A,'2.1 Database'!A46,'1.2 FY2017'!E:E)</f>
        <v>-169489</v>
      </c>
      <c r="G46" s="30">
        <f>-SUMIF('1.3 FY2018'!A:A,'2.1 Database'!A46,'1.3 FY2018'!E:E)</f>
        <v>-61111.483999999997</v>
      </c>
      <c r="H46" s="2" t="s">
        <v>221</v>
      </c>
    </row>
    <row r="47" spans="1:8" x14ac:dyDescent="0.2">
      <c r="A47" s="5" t="s">
        <v>147</v>
      </c>
      <c r="B47" s="5" t="str">
        <f>_xlfn.XLOOKUP($A47, '1.1 FY2016'!$A$5:$A$61, '1.1 FY2016'!B$5:B$61 )</f>
        <v>Misc extraordinary expenses</v>
      </c>
      <c r="C47" s="5">
        <f>_xlfn.XLOOKUP($A47, '1.1 FY2016'!$A$5:$A$61, '1.1 FY2016'!C$5:C$61 )</f>
        <v>105</v>
      </c>
      <c r="D47" s="5" t="str">
        <f>_xlfn.XLOOKUP($A47, '1.1 FY2016'!$A$5:$A$61, '1.1 FY2016'!D$5:D$61 )</f>
        <v>Generco Healthcare Ltd</v>
      </c>
      <c r="E47" s="30">
        <f>-SUMIF('1.1 FY2016'!$A:$A, '2.1 Database'!A47,'1.1 FY2016'!E:E)</f>
        <v>0</v>
      </c>
      <c r="F47" s="30">
        <f>-SUMIF('1.2 FY2017'!A:A,'2.1 Database'!A47,'1.2 FY2017'!E:E)</f>
        <v>0</v>
      </c>
      <c r="G47" s="30">
        <f>-SUMIF('1.3 FY2018'!A:A,'2.1 Database'!A47,'1.3 FY2018'!E:E)</f>
        <v>-1684415.2999999998</v>
      </c>
      <c r="H47" s="2" t="s">
        <v>221</v>
      </c>
    </row>
    <row r="48" spans="1:8" x14ac:dyDescent="0.2">
      <c r="A48" s="5" t="s">
        <v>148</v>
      </c>
      <c r="B48" s="5" t="str">
        <f>_xlfn.XLOOKUP($A48, '1.1 FY2016'!$A$5:$A$61, '1.1 FY2016'!B$5:B$61 )</f>
        <v>Misc extraordinary expenses</v>
      </c>
      <c r="C48" s="5">
        <f>_xlfn.XLOOKUP($A48, '1.1 FY2016'!$A$5:$A$61, '1.1 FY2016'!C$5:C$61 )</f>
        <v>111111</v>
      </c>
      <c r="D48" s="5" t="str">
        <f>_xlfn.XLOOKUP($A48, '1.1 FY2016'!$A$5:$A$61, '1.1 FY2016'!D$5:D$61 )</f>
        <v>External</v>
      </c>
      <c r="E48" s="30">
        <f>-SUMIF('1.1 FY2016'!$A:$A, '2.1 Database'!A48,'1.1 FY2016'!E:E)</f>
        <v>-563918.152</v>
      </c>
      <c r="F48" s="30">
        <f>-SUMIF('1.2 FY2017'!A:A,'2.1 Database'!A48,'1.2 FY2017'!E:E)</f>
        <v>-638869.13</v>
      </c>
      <c r="G48" s="30">
        <f>-SUMIF('1.3 FY2018'!A:A,'2.1 Database'!A48,'1.3 FY2018'!E:E)</f>
        <v>-575626.2649999999</v>
      </c>
      <c r="H48" s="2" t="s">
        <v>221</v>
      </c>
    </row>
    <row r="49" spans="1:8" x14ac:dyDescent="0.2">
      <c r="A49" s="5" t="s">
        <v>149</v>
      </c>
      <c r="B49" s="5" t="str">
        <f>_xlfn.XLOOKUP($A49, '1.1 FY2016'!$A$5:$A$61, '1.1 FY2016'!B$5:B$61 )</f>
        <v>Difference from eliminations</v>
      </c>
      <c r="C49" s="5">
        <f>_xlfn.XLOOKUP($A49, '1.1 FY2016'!$A$5:$A$61, '1.1 FY2016'!C$5:C$61 )</f>
        <v>1009</v>
      </c>
      <c r="D49" s="5" t="str">
        <f>_xlfn.XLOOKUP($A49, '1.1 FY2016'!$A$5:$A$61, '1.1 FY2016'!D$5:D$61 )</f>
        <v>Green Ventures Ltd</v>
      </c>
      <c r="E49" s="30">
        <f>-SUMIF('1.1 FY2016'!$A:$A, '2.1 Database'!A49,'1.1 FY2016'!E:E)</f>
        <v>0</v>
      </c>
      <c r="F49" s="30">
        <f>-SUMIF('1.2 FY2017'!A:A,'2.1 Database'!A49,'1.2 FY2017'!E:E)</f>
        <v>0</v>
      </c>
      <c r="G49" s="30">
        <f>-SUMIF('1.3 FY2018'!A:A,'2.1 Database'!A49,'1.3 FY2018'!E:E)</f>
        <v>0</v>
      </c>
    </row>
    <row r="50" spans="1:8" x14ac:dyDescent="0.2">
      <c r="A50" s="5" t="s">
        <v>150</v>
      </c>
      <c r="B50" s="5" t="str">
        <f>_xlfn.XLOOKUP($A50, '1.1 FY2016'!$A$5:$A$61, '1.1 FY2016'!B$5:B$61 )</f>
        <v>Difference from eliminations</v>
      </c>
      <c r="C50" s="5">
        <f>_xlfn.XLOOKUP($A50, '1.1 FY2016'!$A$5:$A$61, '1.1 FY2016'!C$5:C$61 )</f>
        <v>1007</v>
      </c>
      <c r="D50" s="5" t="str">
        <f>_xlfn.XLOOKUP($A50, '1.1 FY2016'!$A$5:$A$61, '1.1 FY2016'!D$5:D$61 )</f>
        <v>Generco Sunshine JSC</v>
      </c>
      <c r="E50" s="30">
        <f>-SUMIF('1.1 FY2016'!$A:$A, '2.1 Database'!A50,'1.1 FY2016'!E:E)</f>
        <v>0</v>
      </c>
      <c r="F50" s="30">
        <f>-SUMIF('1.2 FY2017'!A:A,'2.1 Database'!A50,'1.2 FY2017'!E:E)</f>
        <v>0</v>
      </c>
      <c r="G50" s="30">
        <f>-SUMIF('1.3 FY2018'!A:A,'2.1 Database'!A50,'1.3 FY2018'!E:E)</f>
        <v>0</v>
      </c>
    </row>
    <row r="51" spans="1:8" x14ac:dyDescent="0.2">
      <c r="A51" s="5" t="s">
        <v>151</v>
      </c>
      <c r="B51" s="5" t="str">
        <f>_xlfn.XLOOKUP($A51, '1.1 FY2016'!$A$5:$A$61, '1.1 FY2016'!B$5:B$61 )</f>
        <v>Difference from eliminations</v>
      </c>
      <c r="C51" s="5">
        <f>_xlfn.XLOOKUP($A51, '1.1 FY2016'!$A$5:$A$61, '1.1 FY2016'!C$5:C$61 )</f>
        <v>1008</v>
      </c>
      <c r="D51" s="5" t="str">
        <f>_xlfn.XLOOKUP($A51, '1.1 FY2016'!$A$5:$A$61, '1.1 FY2016'!D$5:D$61 )</f>
        <v>Greenco Ltd</v>
      </c>
      <c r="E51" s="30">
        <f>-SUMIF('1.1 FY2016'!$A:$A, '2.1 Database'!A51,'1.1 FY2016'!E:E)</f>
        <v>0</v>
      </c>
      <c r="F51" s="30">
        <f>-SUMIF('1.2 FY2017'!A:A,'2.1 Database'!A51,'1.2 FY2017'!E:E)</f>
        <v>0</v>
      </c>
      <c r="G51" s="30">
        <f>-SUMIF('1.3 FY2018'!A:A,'2.1 Database'!A51,'1.3 FY2018'!E:E)</f>
        <v>0</v>
      </c>
    </row>
    <row r="52" spans="1:8" x14ac:dyDescent="0.2">
      <c r="A52" s="5" t="s">
        <v>152</v>
      </c>
      <c r="B52" s="5" t="str">
        <f>_xlfn.XLOOKUP($A52, '1.1 FY2016'!$A$5:$A$61, '1.1 FY2016'!B$5:B$61 )</f>
        <v>Interest income</v>
      </c>
      <c r="C52" s="5">
        <f>_xlfn.XLOOKUP($A52, '1.1 FY2016'!$A$5:$A$61, '1.1 FY2016'!C$5:C$61 )</f>
        <v>1009</v>
      </c>
      <c r="D52" s="5" t="str">
        <f>_xlfn.XLOOKUP($A52, '1.1 FY2016'!$A$5:$A$61, '1.1 FY2016'!D$5:D$61 )</f>
        <v>Green Ventures Ltd</v>
      </c>
      <c r="E52" s="30">
        <f>-SUMIF('1.1 FY2016'!$A:$A, '2.1 Database'!A52,'1.1 FY2016'!E:E)</f>
        <v>0</v>
      </c>
      <c r="F52" s="30">
        <f>-SUMIF('1.2 FY2017'!A:A,'2.1 Database'!A52,'1.2 FY2017'!E:E)</f>
        <v>0</v>
      </c>
      <c r="G52" s="30">
        <f>-SUMIF('1.3 FY2018'!A:A,'2.1 Database'!A52,'1.3 FY2018'!E:E)</f>
        <v>0</v>
      </c>
      <c r="H52" s="2" t="s">
        <v>227</v>
      </c>
    </row>
    <row r="53" spans="1:8" x14ac:dyDescent="0.2">
      <c r="A53" s="5" t="s">
        <v>153</v>
      </c>
      <c r="B53" s="5" t="str">
        <f>_xlfn.XLOOKUP($A53, '1.1 FY2016'!$A$5:$A$61, '1.1 FY2016'!B$5:B$61 )</f>
        <v>Interest income</v>
      </c>
      <c r="C53" s="5">
        <f>_xlfn.XLOOKUP($A53, '1.1 FY2016'!$A$5:$A$61, '1.1 FY2016'!C$5:C$61 )</f>
        <v>1007</v>
      </c>
      <c r="D53" s="5" t="str">
        <f>_xlfn.XLOOKUP($A53, '1.1 FY2016'!$A$5:$A$61, '1.1 FY2016'!D$5:D$61 )</f>
        <v>Generco Sunshine JSC</v>
      </c>
      <c r="E53" s="30">
        <f>-SUMIF('1.1 FY2016'!$A:$A, '2.1 Database'!A53,'1.1 FY2016'!E:E)</f>
        <v>0</v>
      </c>
      <c r="F53" s="30">
        <f>-SUMIF('1.2 FY2017'!A:A,'2.1 Database'!A53,'1.2 FY2017'!E:E)</f>
        <v>0</v>
      </c>
      <c r="G53" s="30">
        <f>-SUMIF('1.3 FY2018'!A:A,'2.1 Database'!A53,'1.3 FY2018'!E:E)</f>
        <v>0</v>
      </c>
      <c r="H53" s="2" t="s">
        <v>227</v>
      </c>
    </row>
    <row r="54" spans="1:8" x14ac:dyDescent="0.2">
      <c r="A54" s="5" t="s">
        <v>154</v>
      </c>
      <c r="B54" s="5" t="str">
        <f>_xlfn.XLOOKUP($A54, '1.1 FY2016'!$A$5:$A$61, '1.1 FY2016'!B$5:B$61 )</f>
        <v>Interest income</v>
      </c>
      <c r="C54" s="5">
        <f>_xlfn.XLOOKUP($A54, '1.1 FY2016'!$A$5:$A$61, '1.1 FY2016'!C$5:C$61 )</f>
        <v>1008</v>
      </c>
      <c r="D54" s="5" t="str">
        <f>_xlfn.XLOOKUP($A54, '1.1 FY2016'!$A$5:$A$61, '1.1 FY2016'!D$5:D$61 )</f>
        <v>Greenco Ltd</v>
      </c>
      <c r="E54" s="30">
        <f>-SUMIF('1.1 FY2016'!$A:$A, '2.1 Database'!A54,'1.1 FY2016'!E:E)</f>
        <v>0</v>
      </c>
      <c r="F54" s="30">
        <f>-SUMIF('1.2 FY2017'!A:A,'2.1 Database'!A54,'1.2 FY2017'!E:E)</f>
        <v>0</v>
      </c>
      <c r="G54" s="30">
        <f>-SUMIF('1.3 FY2018'!A:A,'2.1 Database'!A54,'1.3 FY2018'!E:E)</f>
        <v>0</v>
      </c>
      <c r="H54" s="2" t="s">
        <v>227</v>
      </c>
    </row>
    <row r="55" spans="1:8" x14ac:dyDescent="0.2">
      <c r="A55" s="5" t="s">
        <v>155</v>
      </c>
      <c r="B55" s="5" t="str">
        <f>_xlfn.XLOOKUP($A55, '1.1 FY2016'!$A$5:$A$61, '1.1 FY2016'!B$5:B$61 )</f>
        <v>Interest income</v>
      </c>
      <c r="C55" s="5">
        <f>_xlfn.XLOOKUP($A55, '1.1 FY2016'!$A$5:$A$61, '1.1 FY2016'!C$5:C$61 )</f>
        <v>1240</v>
      </c>
      <c r="D55" s="5" t="str">
        <f>_xlfn.XLOOKUP($A55, '1.1 FY2016'!$A$5:$A$61, '1.1 FY2016'!D$5:D$61 )</f>
        <v xml:space="preserve">Generco UK </v>
      </c>
      <c r="E55" s="30">
        <f>-SUMIF('1.1 FY2016'!$A:$A, '2.1 Database'!A55,'1.1 FY2016'!E:E)</f>
        <v>35810.228000000003</v>
      </c>
      <c r="F55" s="30">
        <f>-SUMIF('1.2 FY2017'!A:A,'2.1 Database'!A55,'1.2 FY2017'!E:E)</f>
        <v>34224.959999999999</v>
      </c>
      <c r="G55" s="30">
        <f>-SUMIF('1.3 FY2018'!A:A,'2.1 Database'!A55,'1.3 FY2018'!E:E)</f>
        <v>0</v>
      </c>
      <c r="H55" s="2" t="s">
        <v>227</v>
      </c>
    </row>
    <row r="56" spans="1:8" x14ac:dyDescent="0.2">
      <c r="A56" s="5" t="s">
        <v>156</v>
      </c>
      <c r="B56" s="5" t="str">
        <f>_xlfn.XLOOKUP($A56, '1.1 FY2016'!$A$5:$A$61, '1.1 FY2016'!B$5:B$61 )</f>
        <v>Interest income</v>
      </c>
      <c r="C56" s="5">
        <f>_xlfn.XLOOKUP($A56, '1.1 FY2016'!$A$5:$A$61, '1.1 FY2016'!C$5:C$61 )</f>
        <v>111111</v>
      </c>
      <c r="D56" s="5" t="str">
        <f>_xlfn.XLOOKUP($A56, '1.1 FY2016'!$A$5:$A$61, '1.1 FY2016'!D$5:D$61 )</f>
        <v>External</v>
      </c>
      <c r="E56" s="30">
        <f>-SUMIF('1.1 FY2016'!$A:$A, '2.1 Database'!A56,'1.1 FY2016'!E:E)</f>
        <v>51927.417999999998</v>
      </c>
      <c r="F56" s="30">
        <f>-SUMIF('1.2 FY2017'!A:A,'2.1 Database'!A56,'1.2 FY2017'!E:E)</f>
        <v>2204.7199999999998</v>
      </c>
      <c r="G56" s="30">
        <f>-SUMIF('1.3 FY2018'!A:A,'2.1 Database'!A56,'1.3 FY2018'!E:E)</f>
        <v>73809.511999999988</v>
      </c>
      <c r="H56" s="2" t="s">
        <v>227</v>
      </c>
    </row>
    <row r="57" spans="1:8" x14ac:dyDescent="0.2">
      <c r="A57" s="5" t="s">
        <v>157</v>
      </c>
      <c r="B57" s="5" t="str">
        <f>_xlfn.XLOOKUP($A57, '1.1 FY2016'!$A$5:$A$61, '1.1 FY2016'!B$5:B$61 )</f>
        <v>Capitalized interest</v>
      </c>
      <c r="C57" s="5">
        <f>_xlfn.XLOOKUP($A57, '1.1 FY2016'!$A$5:$A$61, '1.1 FY2016'!C$5:C$61 )</f>
        <v>111101</v>
      </c>
      <c r="D57" s="5" t="str">
        <f>_xlfn.XLOOKUP($A57, '1.1 FY2016'!$A$5:$A$61, '1.1 FY2016'!D$5:D$61 )</f>
        <v>Not assigned</v>
      </c>
      <c r="E57" s="30">
        <f>-SUMIF('1.1 FY2016'!$A:$A, '2.1 Database'!A57,'1.1 FY2016'!E:E)</f>
        <v>862270.63399999996</v>
      </c>
      <c r="F57" s="30">
        <f>-SUMIF('1.2 FY2017'!A:A,'2.1 Database'!A57,'1.2 FY2017'!E:E)</f>
        <v>0</v>
      </c>
      <c r="G57" s="30">
        <f>-SUMIF('1.3 FY2018'!A:A,'2.1 Database'!A57,'1.3 FY2018'!E:E)</f>
        <v>0</v>
      </c>
      <c r="H57" s="2" t="s">
        <v>63</v>
      </c>
    </row>
    <row r="58" spans="1:8" x14ac:dyDescent="0.2">
      <c r="A58" s="5" t="s">
        <v>158</v>
      </c>
      <c r="B58" s="5" t="str">
        <f>_xlfn.XLOOKUP($A58, '1.1 FY2016'!$A$5:$A$61, '1.1 FY2016'!B$5:B$61 )</f>
        <v>Non-recurring costs</v>
      </c>
      <c r="C58" s="5">
        <f>_xlfn.XLOOKUP($A58, '1.1 FY2016'!$A$5:$A$61, '1.1 FY2016'!C$5:C$61 )</f>
        <v>111101</v>
      </c>
      <c r="D58" s="5" t="str">
        <f>_xlfn.XLOOKUP($A58, '1.1 FY2016'!$A$5:$A$61, '1.1 FY2016'!D$5:D$61 )</f>
        <v>Not assigned</v>
      </c>
      <c r="E58" s="30">
        <f>-SUMIF('1.1 FY2016'!$A:$A, '2.1 Database'!A58,'1.1 FY2016'!E:E)</f>
        <v>-22763</v>
      </c>
      <c r="F58" s="30">
        <f>-SUMIF('1.2 FY2017'!A:A,'2.1 Database'!A58,'1.2 FY2017'!E:E)</f>
        <v>-80617.179999999993</v>
      </c>
      <c r="G58" s="30">
        <f>-SUMIF('1.3 FY2018'!A:A,'2.1 Database'!A58,'1.3 FY2018'!E:E)</f>
        <v>-7173.195999999999</v>
      </c>
      <c r="H58" s="2" t="s">
        <v>228</v>
      </c>
    </row>
    <row r="59" spans="1:8" x14ac:dyDescent="0.2">
      <c r="A59" s="5" t="s">
        <v>159</v>
      </c>
      <c r="B59" s="5" t="str">
        <f>_xlfn.XLOOKUP($A59, '1.1 FY2016'!$A$5:$A$61, '1.1 FY2016'!B$5:B$61 )</f>
        <v>Interest expenses</v>
      </c>
      <c r="C59" s="5">
        <f>_xlfn.XLOOKUP($A59, '1.1 FY2016'!$A$5:$A$61, '1.1 FY2016'!C$5:C$61 )</f>
        <v>88</v>
      </c>
      <c r="D59" s="5" t="str">
        <f>_xlfn.XLOOKUP($A59, '1.1 FY2016'!$A$5:$A$61, '1.1 FY2016'!D$5:D$61 )</f>
        <v>Generco Ltd</v>
      </c>
      <c r="E59" s="30">
        <f>-SUMIF('1.1 FY2016'!$A:$A, '2.1 Database'!A59,'1.1 FY2016'!E:E)</f>
        <v>-2930430.0120000001</v>
      </c>
      <c r="F59" s="30">
        <f>-SUMIF('1.2 FY2017'!A:A,'2.1 Database'!A59,'1.2 FY2017'!E:E)</f>
        <v>-2752704.22</v>
      </c>
      <c r="G59" s="30">
        <f>-SUMIF('1.3 FY2018'!A:A,'2.1 Database'!A59,'1.3 FY2018'!E:E)</f>
        <v>-2324465.8859999999</v>
      </c>
      <c r="H59" s="2" t="s">
        <v>227</v>
      </c>
    </row>
    <row r="60" spans="1:8" x14ac:dyDescent="0.2">
      <c r="A60" s="5" t="s">
        <v>160</v>
      </c>
      <c r="B60" s="5" t="str">
        <f>_xlfn.XLOOKUP($A60, '1.1 FY2016'!$A$5:$A$61, '1.1 FY2016'!B$5:B$61 )</f>
        <v>Current taxes</v>
      </c>
      <c r="C60" s="5">
        <f>_xlfn.XLOOKUP($A60, '1.1 FY2016'!$A$5:$A$61, '1.1 FY2016'!C$5:C$61 )</f>
        <v>111101</v>
      </c>
      <c r="D60" s="5" t="str">
        <f>_xlfn.XLOOKUP($A60, '1.1 FY2016'!$A$5:$A$61, '1.1 FY2016'!D$5:D$61 )</f>
        <v>Not assigned</v>
      </c>
      <c r="E60" s="30">
        <f>-SUMIF('1.1 FY2016'!$A:$A, '2.1 Database'!A60,'1.1 FY2016'!E:E)</f>
        <v>49378.641999999993</v>
      </c>
      <c r="F60" s="30">
        <f>-SUMIF('1.2 FY2017'!A:A,'2.1 Database'!A60,'1.2 FY2017'!E:E)</f>
        <v>-496748.70000000007</v>
      </c>
      <c r="G60" s="30">
        <f>-SUMIF('1.3 FY2018'!A:A,'2.1 Database'!A60,'1.3 FY2018'!E:E)</f>
        <v>-2558.1950000000002</v>
      </c>
      <c r="H60" s="2" t="s">
        <v>229</v>
      </c>
    </row>
    <row r="61" spans="1:8" x14ac:dyDescent="0.2">
      <c r="A61" s="5" t="s">
        <v>161</v>
      </c>
      <c r="B61" s="5" t="str">
        <f>_xlfn.XLOOKUP($A61, '1.1 FY2016'!$A$5:$A$61, '1.1 FY2016'!B$5:B$61 )</f>
        <v>Regional taxes</v>
      </c>
      <c r="C61" s="5">
        <f>_xlfn.XLOOKUP($A61, '1.1 FY2016'!$A$5:$A$61, '1.1 FY2016'!C$5:C$61 )</f>
        <v>111101</v>
      </c>
      <c r="D61" s="5" t="str">
        <f>_xlfn.XLOOKUP($A61, '1.1 FY2016'!$A$5:$A$61, '1.1 FY2016'!D$5:D$61 )</f>
        <v>Not assigned</v>
      </c>
      <c r="E61" s="30">
        <f>-SUMIF('1.1 FY2016'!$A:$A, '2.1 Database'!A61,'1.1 FY2016'!E:E)</f>
        <v>-516250.67</v>
      </c>
      <c r="F61" s="30">
        <f>-SUMIF('1.2 FY2017'!A:A,'2.1 Database'!A61,'1.2 FY2017'!E:E)</f>
        <v>-480872.96000000002</v>
      </c>
      <c r="G61" s="30">
        <f>-SUMIF('1.3 FY2018'!A:A,'2.1 Database'!A61,'1.3 FY2018'!E:E)</f>
        <v>-522710.353</v>
      </c>
      <c r="H61" s="2" t="s">
        <v>229</v>
      </c>
    </row>
    <row r="62" spans="1:8" x14ac:dyDescent="0.2">
      <c r="A62" s="5" t="s">
        <v>162</v>
      </c>
      <c r="B62" s="5" t="str">
        <f>_xlfn.XLOOKUP($A62, '1.1 FY2016'!$A$5:$A$61, '1.1 FY2016'!B$5:B$61 )</f>
        <v>Deferred taxes</v>
      </c>
      <c r="C62" s="5">
        <f>_xlfn.XLOOKUP($A62, '1.1 FY2016'!$A$5:$A$61, '1.1 FY2016'!C$5:C$61 )</f>
        <v>111101</v>
      </c>
      <c r="D62" s="5" t="str">
        <f>_xlfn.XLOOKUP($A62, '1.1 FY2016'!$A$5:$A$61, '1.1 FY2016'!D$5:D$61 )</f>
        <v>Not assigned</v>
      </c>
      <c r="E62" s="30">
        <f>-SUMIF('1.1 FY2016'!$A:$A, '2.1 Database'!A62,'1.1 FY2016'!E:E)</f>
        <v>-21593.093999999997</v>
      </c>
      <c r="F62" s="30">
        <f>-SUMIF('1.2 FY2017'!A:A,'2.1 Database'!A62,'1.2 FY2017'!E:E)</f>
        <v>-6570.3050000000003</v>
      </c>
      <c r="G62" s="30">
        <f>-SUMIF('1.3 FY2018'!A:A,'2.1 Database'!A62,'1.3 FY2018'!E:E)</f>
        <v>160303.52199999997</v>
      </c>
      <c r="H62" s="2" t="s">
        <v>229</v>
      </c>
    </row>
    <row r="63" spans="1:8" x14ac:dyDescent="0.2">
      <c r="A63" s="5" t="s">
        <v>163</v>
      </c>
      <c r="B63" s="5" t="str">
        <f>_xlfn.XLOOKUP($A63, '1.1 FY2016'!$A$5:$A$61, '1.1 FY2016'!B$5:B$61 )</f>
        <v>Net income/(loss)</v>
      </c>
      <c r="C63" s="5">
        <f>_xlfn.XLOOKUP($A63, '1.1 FY2016'!$A$5:$A$61, '1.1 FY2016'!C$5:C$61 )</f>
        <v>111101</v>
      </c>
      <c r="D63" s="5" t="str">
        <f>_xlfn.XLOOKUP($A63, '1.1 FY2016'!$A$5:$A$61, '1.1 FY2016'!D$5:D$61 )</f>
        <v>Not assigned</v>
      </c>
      <c r="E63" s="30">
        <f>-SUMIF('1.1 FY2016'!$A:$A, '2.1 Database'!A63,'1.1 FY2016'!E:E)</f>
        <v>2904117.9939999986</v>
      </c>
      <c r="F63" s="30">
        <f>-SUMIF('1.2 FY2017'!A:A,'2.1 Database'!A63,'1.2 FY2017'!E:E)</f>
        <v>0</v>
      </c>
      <c r="G63" s="30">
        <f>-SUMIF('1.3 FY2018'!A:A,'2.1 Database'!A63,'1.3 FY2018'!E:E)</f>
        <v>0</v>
      </c>
      <c r="H63" s="2" t="s">
        <v>230</v>
      </c>
    </row>
    <row r="64" spans="1:8" x14ac:dyDescent="0.2">
      <c r="A64" s="5" t="s">
        <v>165</v>
      </c>
      <c r="B64" s="5" t="str">
        <f>_xlfn.XLOOKUP($A64, '1.2 FY2017'!$A$5:$A$86, '1.2 FY2017'!B$5:B$86 )</f>
        <v>Core business revenues</v>
      </c>
      <c r="C64" s="5">
        <f>_xlfn.XLOOKUP($A64, '1.2 FY2017'!$A$5:$A$86, '1.2 FY2017'!C$5:C$86 )</f>
        <v>105</v>
      </c>
      <c r="D64" s="5" t="str">
        <f>_xlfn.XLOOKUP($A64, '1.2 FY2017'!$A$5:$A$86, '1.2 FY2017'!D$5:D$86 )</f>
        <v>Generco Healthcare Ltd</v>
      </c>
      <c r="E64" s="30">
        <f>-SUMIF('1.1 FY2016'!$A:$A, '2.1 Database'!A64,'1.1 FY2016'!E:E)</f>
        <v>0</v>
      </c>
      <c r="F64" s="30">
        <f>-SUMIF('1.2 FY2017'!A:A,'2.1 Database'!A64,'1.2 FY2017'!E:E)</f>
        <v>355396.61499999999</v>
      </c>
      <c r="G64" s="30">
        <f>-SUMIF('1.3 FY2018'!A:A,'2.1 Database'!A64,'1.3 FY2018'!E:E)</f>
        <v>616462.01899999997</v>
      </c>
      <c r="H64" s="2" t="s">
        <v>231</v>
      </c>
    </row>
    <row r="65" spans="1:8" x14ac:dyDescent="0.2">
      <c r="A65" s="5" t="s">
        <v>167</v>
      </c>
      <c r="B65" s="5" t="str">
        <f>_xlfn.XLOOKUP($A65, '1.2 FY2017'!$A$5:$A$86, '1.2 FY2017'!B$5:B$86 )</f>
        <v>Utility charges</v>
      </c>
      <c r="C65" s="5">
        <f>_xlfn.XLOOKUP($A65, '1.2 FY2017'!$A$5:$A$86, '1.2 FY2017'!C$5:C$86 )</f>
        <v>111111</v>
      </c>
      <c r="D65" s="5" t="str">
        <f>_xlfn.XLOOKUP($A65, '1.2 FY2017'!$A$5:$A$86, '1.2 FY2017'!D$5:D$86 )</f>
        <v>External</v>
      </c>
      <c r="E65" s="30">
        <f>-SUMIF('1.1 FY2016'!$A:$A, '2.1 Database'!A65,'1.1 FY2016'!E:E)</f>
        <v>0</v>
      </c>
      <c r="F65" s="30">
        <f>-SUMIF('1.2 FY2017'!A:A,'2.1 Database'!A65,'1.2 FY2017'!E:E)</f>
        <v>-14589.33</v>
      </c>
      <c r="G65" s="30">
        <f>-SUMIF('1.3 FY2018'!A:A,'2.1 Database'!A65,'1.3 FY2018'!E:E)</f>
        <v>-20504.509999999998</v>
      </c>
      <c r="H65" s="2" t="s">
        <v>63</v>
      </c>
    </row>
    <row r="66" spans="1:8" x14ac:dyDescent="0.2">
      <c r="A66" s="5" t="s">
        <v>199</v>
      </c>
      <c r="B66" s="5" t="str">
        <f>_xlfn.XLOOKUP($A66, '1.3 FY2018'!$A$5:$A$78, '1.3 FY2018'!B$5:B$78 )</f>
        <v>Operating expenses for utilities</v>
      </c>
      <c r="C66" s="5">
        <f>_xlfn.XLOOKUP($A66, '1.3 FY2018'!$A$5:$A$78, '1.3 FY2018'!C$5:C$78 )</f>
        <v>111111</v>
      </c>
      <c r="D66" s="5" t="str">
        <f>_xlfn.XLOOKUP($A66, '1.3 FY2018'!$A$5:$A$78, '1.3 FY2018'!D$5:D$78 )</f>
        <v>External</v>
      </c>
      <c r="E66" s="30">
        <f>-SUMIF('1.1 FY2016'!$A:$A, '2.1 Database'!A66,'1.1 FY2016'!E:E)</f>
        <v>0</v>
      </c>
      <c r="F66" s="30">
        <f>-SUMIF('1.2 FY2017'!A:A,'2.1 Database'!A66,'1.2 FY2017'!E:E)</f>
        <v>0</v>
      </c>
      <c r="G66" s="30">
        <f>-SUMIF('1.3 FY2018'!A:A,'2.1 Database'!A66,'1.3 FY2018'!E:E)</f>
        <v>-13691.949999999999</v>
      </c>
      <c r="H66" s="2" t="s">
        <v>221</v>
      </c>
    </row>
    <row r="67" spans="1:8" x14ac:dyDescent="0.2">
      <c r="A67" s="5" t="s">
        <v>169</v>
      </c>
      <c r="B67" s="5" t="str">
        <f>_xlfn.XLOOKUP($A67, '1.2 FY2017'!$A$5:$A$86, '1.2 FY2017'!B$5:B$86 )</f>
        <v>R&amp;D expenses</v>
      </c>
      <c r="C67" s="5" t="str">
        <f>_xlfn.XLOOKUP($A67, '1.2 FY2017'!$A$5:$A$86, '1.2 FY2017'!C$5:C$86 )</f>
        <v>1283</v>
      </c>
      <c r="D67" s="5" t="str">
        <f>_xlfn.XLOOKUP($A67, '1.2 FY2017'!$A$5:$A$86, '1.2 FY2017'!D$5:D$86 )</f>
        <v>Generco Ventures Ltd</v>
      </c>
      <c r="E67" s="30">
        <f>-SUMIF('1.1 FY2016'!$A:$A, '2.1 Database'!A67,'1.1 FY2016'!E:E)</f>
        <v>0</v>
      </c>
      <c r="F67" s="30">
        <f>-SUMIF('1.2 FY2017'!A:A,'2.1 Database'!A67,'1.2 FY2017'!E:E)</f>
        <v>-1820</v>
      </c>
      <c r="G67" s="30">
        <f>-SUMIF('1.3 FY2018'!A:A,'2.1 Database'!A67,'1.3 FY2018'!E:E)</f>
        <v>0</v>
      </c>
      <c r="H67" s="2" t="s">
        <v>221</v>
      </c>
    </row>
    <row r="68" spans="1:8" x14ac:dyDescent="0.2">
      <c r="A68" s="5" t="s">
        <v>170</v>
      </c>
      <c r="B68" s="5" t="str">
        <f>_xlfn.XLOOKUP($A68, '1.2 FY2017'!$A$5:$A$86, '1.2 FY2017'!B$5:B$86 )</f>
        <v>R&amp;D expenses</v>
      </c>
      <c r="C68" s="5" t="str">
        <f>_xlfn.XLOOKUP($A68, '1.2 FY2017'!$A$5:$A$86, '1.2 FY2017'!C$5:C$86 )</f>
        <v>1924</v>
      </c>
      <c r="D68" s="5" t="str">
        <f>_xlfn.XLOOKUP($A68, '1.2 FY2017'!$A$5:$A$86, '1.2 FY2017'!D$5:D$86 )</f>
        <v>Generco Infrastructure Ltd</v>
      </c>
      <c r="E68" s="30">
        <f>-SUMIF('1.1 FY2016'!$A:$A, '2.1 Database'!A68,'1.1 FY2016'!E:E)</f>
        <v>0</v>
      </c>
      <c r="F68" s="30">
        <f>-SUMIF('1.2 FY2017'!A:A,'2.1 Database'!A68,'1.2 FY2017'!E:E)</f>
        <v>-10448.129999999999</v>
      </c>
      <c r="G68" s="30">
        <f>-SUMIF('1.3 FY2018'!A:A,'2.1 Database'!A68,'1.3 FY2018'!E:E)</f>
        <v>-673.34299999999985</v>
      </c>
      <c r="H68" s="2" t="s">
        <v>221</v>
      </c>
    </row>
    <row r="69" spans="1:8" x14ac:dyDescent="0.2">
      <c r="A69" s="5" t="s">
        <v>200</v>
      </c>
      <c r="B69" s="5" t="str">
        <f>_xlfn.XLOOKUP($A69, '1.3 FY2018'!$A$5:$A$78, '1.3 FY2018'!B$5:B$78 )</f>
        <v>R&amp;D expenses</v>
      </c>
      <c r="C69" s="5" t="str">
        <f>_xlfn.XLOOKUP($A69, '1.3 FY2018'!$A$5:$A$78, '1.3 FY2018'!C$5:C$78 )</f>
        <v>2185</v>
      </c>
      <c r="D69" s="5" t="str">
        <f>_xlfn.XLOOKUP($A69, '1.3 FY2018'!$A$5:$A$78, '1.3 FY2018'!D$5:D$78 )</f>
        <v>Generco Green Projects GmbH</v>
      </c>
      <c r="E69" s="30">
        <f>-SUMIF('1.1 FY2016'!$A:$A, '2.1 Database'!A69,'1.1 FY2016'!E:E)</f>
        <v>0</v>
      </c>
      <c r="F69" s="30">
        <f>-SUMIF('1.2 FY2017'!A:A,'2.1 Database'!A69,'1.2 FY2017'!E:E)</f>
        <v>0</v>
      </c>
      <c r="G69" s="30">
        <f>-SUMIF('1.3 FY2018'!A:A,'2.1 Database'!A69,'1.3 FY2018'!E:E)</f>
        <v>-192017.14499999996</v>
      </c>
      <c r="H69" s="2" t="s">
        <v>221</v>
      </c>
    </row>
    <row r="70" spans="1:8" x14ac:dyDescent="0.2">
      <c r="A70" s="5" t="s">
        <v>201</v>
      </c>
      <c r="B70" s="5" t="str">
        <f>_xlfn.XLOOKUP($A70, '1.3 FY2018'!$A$5:$A$78, '1.3 FY2018'!B$5:B$78 )</f>
        <v>R&amp;D expenses</v>
      </c>
      <c r="C70" s="5" t="str">
        <f>_xlfn.XLOOKUP($A70, '1.3 FY2018'!$A$5:$A$78, '1.3 FY2018'!C$5:C$78 )</f>
        <v>2240</v>
      </c>
      <c r="D70" s="5" t="str">
        <f>_xlfn.XLOOKUP($A70, '1.3 FY2018'!$A$5:$A$78, '1.3 FY2018'!D$5:D$78 )</f>
        <v>Greeny Germany GmbH</v>
      </c>
      <c r="E70" s="30">
        <f>-SUMIF('1.1 FY2016'!$A:$A, '2.1 Database'!A70,'1.1 FY2016'!E:E)</f>
        <v>0</v>
      </c>
      <c r="F70" s="30">
        <f>-SUMIF('1.2 FY2017'!A:A,'2.1 Database'!A70,'1.2 FY2017'!E:E)</f>
        <v>0</v>
      </c>
      <c r="G70" s="30">
        <f>-SUMIF('1.3 FY2018'!A:A,'2.1 Database'!A70,'1.3 FY2018'!E:E)</f>
        <v>-375290.46599999996</v>
      </c>
      <c r="H70" s="2" t="s">
        <v>221</v>
      </c>
    </row>
    <row r="71" spans="1:8" x14ac:dyDescent="0.2">
      <c r="A71" s="5" t="s">
        <v>202</v>
      </c>
      <c r="B71" s="5" t="str">
        <f>_xlfn.XLOOKUP($A71, '1.3 FY2018'!$A$5:$A$78, '1.3 FY2018'!B$5:B$78 )</f>
        <v>R&amp;D expenses</v>
      </c>
      <c r="C71" s="5">
        <f>_xlfn.XLOOKUP($A71, '1.3 FY2018'!$A$5:$A$78, '1.3 FY2018'!C$5:C$78 )</f>
        <v>17000</v>
      </c>
      <c r="D71" s="5" t="str">
        <f>_xlfn.XLOOKUP($A71, '1.3 FY2018'!$A$5:$A$78, '1.3 FY2018'!D$5:D$78 )</f>
        <v>Generco Risk Management Ltd</v>
      </c>
      <c r="E71" s="30">
        <f>-SUMIF('1.1 FY2016'!$A:$A, '2.1 Database'!A71,'1.1 FY2016'!E:E)</f>
        <v>0</v>
      </c>
      <c r="F71" s="30">
        <f>-SUMIF('1.2 FY2017'!A:A,'2.1 Database'!A71,'1.2 FY2017'!E:E)</f>
        <v>0</v>
      </c>
      <c r="G71" s="30">
        <f>-SUMIF('1.3 FY2018'!A:A,'2.1 Database'!A71,'1.3 FY2018'!E:E)</f>
        <v>-4920</v>
      </c>
      <c r="H71" s="2" t="s">
        <v>222</v>
      </c>
    </row>
    <row r="72" spans="1:8" x14ac:dyDescent="0.2">
      <c r="A72" s="5" t="s">
        <v>173</v>
      </c>
      <c r="B72" s="5" t="str">
        <f>_xlfn.XLOOKUP($A72, '1.2 FY2017'!$A$5:$A$86, '1.2 FY2017'!B$5:B$86 )</f>
        <v>D&amp;A</v>
      </c>
      <c r="C72" s="5">
        <f>_xlfn.XLOOKUP($A72, '1.2 FY2017'!$A$5:$A$86, '1.2 FY2017'!C$5:C$86 )</f>
        <v>111101</v>
      </c>
      <c r="D72" s="5" t="str">
        <f>_xlfn.XLOOKUP($A72, '1.2 FY2017'!$A$5:$A$86, '1.2 FY2017'!D$5:D$86 )</f>
        <v>Not assigned</v>
      </c>
      <c r="E72" s="30">
        <f>-SUMIF('1.1 FY2016'!$A:$A, '2.1 Database'!A72,'1.1 FY2016'!E:E)</f>
        <v>0</v>
      </c>
      <c r="F72" s="30">
        <f>-SUMIF('1.2 FY2017'!A:A,'2.1 Database'!A72,'1.2 FY2017'!E:E)</f>
        <v>-146328.94499999998</v>
      </c>
      <c r="G72" s="30">
        <f>-SUMIF('1.3 FY2018'!A:A,'2.1 Database'!A72,'1.3 FY2018'!E:E)</f>
        <v>-12593.355</v>
      </c>
      <c r="H72" s="2" t="s">
        <v>68</v>
      </c>
    </row>
    <row r="73" spans="1:8" x14ac:dyDescent="0.2">
      <c r="A73" s="5" t="s">
        <v>203</v>
      </c>
      <c r="B73" s="5" t="str">
        <f>_xlfn.XLOOKUP($A73, '1.3 FY2018'!$A$5:$A$78, '1.3 FY2018'!B$5:B$78 )</f>
        <v>Other operative currency differences</v>
      </c>
      <c r="C73" s="5" t="str">
        <f>_xlfn.XLOOKUP($A73, '1.3 FY2018'!$A$5:$A$78, '1.3 FY2018'!C$5:C$78 )</f>
        <v>1118</v>
      </c>
      <c r="D73" s="5" t="str">
        <f>_xlfn.XLOOKUP($A73, '1.3 FY2018'!$A$5:$A$78, '1.3 FY2018'!D$5:D$78 )</f>
        <v>Gener Green LLC</v>
      </c>
      <c r="E73" s="30">
        <f>-SUMIF('1.1 FY2016'!$A:$A, '2.1 Database'!A73,'1.1 FY2016'!E:E)</f>
        <v>0</v>
      </c>
      <c r="F73" s="30">
        <f>-SUMIF('1.2 FY2017'!A:A,'2.1 Database'!A73,'1.2 FY2017'!E:E)</f>
        <v>0</v>
      </c>
      <c r="G73" s="30">
        <f>-SUMIF('1.3 FY2018'!A:A,'2.1 Database'!A73,'1.3 FY2018'!E:E)</f>
        <v>0</v>
      </c>
      <c r="H73" s="2" t="s">
        <v>228</v>
      </c>
    </row>
    <row r="74" spans="1:8" x14ac:dyDescent="0.2">
      <c r="A74" s="5" t="s">
        <v>204</v>
      </c>
      <c r="B74" s="5" t="str">
        <f>_xlfn.XLOOKUP($A74, '1.3 FY2018'!$A$5:$A$78, '1.3 FY2018'!B$5:B$78 )</f>
        <v>Other operative currency differences</v>
      </c>
      <c r="C74" s="5">
        <f>_xlfn.XLOOKUP($A74, '1.3 FY2018'!$A$5:$A$78, '1.3 FY2018'!C$5:C$78 )</f>
        <v>111111</v>
      </c>
      <c r="D74" s="5" t="str">
        <f>_xlfn.XLOOKUP($A74, '1.3 FY2018'!$A$5:$A$78, '1.3 FY2018'!D$5:D$78 )</f>
        <v>External</v>
      </c>
      <c r="E74" s="30">
        <f>-SUMIF('1.1 FY2016'!$A:$A, '2.1 Database'!A74,'1.1 FY2016'!E:E)</f>
        <v>0</v>
      </c>
      <c r="F74" s="30">
        <f>-SUMIF('1.2 FY2017'!A:A,'2.1 Database'!A74,'1.2 FY2017'!E:E)</f>
        <v>0</v>
      </c>
      <c r="G74" s="30">
        <f>-SUMIF('1.3 FY2018'!A:A,'2.1 Database'!A74,'1.3 FY2018'!E:E)</f>
        <v>1252.8369999999998</v>
      </c>
      <c r="H74" s="2" t="s">
        <v>223</v>
      </c>
    </row>
    <row r="75" spans="1:8" x14ac:dyDescent="0.2">
      <c r="A75" s="5" t="s">
        <v>175</v>
      </c>
      <c r="B75" s="5" t="str">
        <f>_xlfn.XLOOKUP($A75, '1.2 FY2017'!$A$5:$A$86, '1.2 FY2017'!B$5:B$86 )</f>
        <v>Corporate recharges</v>
      </c>
      <c r="C75" s="5">
        <f>_xlfn.XLOOKUP($A75, '1.2 FY2017'!$A$5:$A$86, '1.2 FY2017'!C$5:C$86 )</f>
        <v>19</v>
      </c>
      <c r="D75" s="5" t="str">
        <f>_xlfn.XLOOKUP($A75, '1.2 FY2017'!$A$5:$A$86, '1.2 FY2017'!D$5:D$86 )</f>
        <v>Generco Cosmetics Ltd</v>
      </c>
      <c r="E75" s="30">
        <f>-SUMIF('1.1 FY2016'!$A:$A, '2.1 Database'!A75,'1.1 FY2016'!E:E)</f>
        <v>0</v>
      </c>
      <c r="F75" s="30">
        <f>-SUMIF('1.2 FY2017'!A:A,'2.1 Database'!A75,'1.2 FY2017'!E:E)</f>
        <v>416278.66</v>
      </c>
      <c r="G75" s="30">
        <f>-SUMIF('1.3 FY2018'!A:A,'2.1 Database'!A75,'1.3 FY2018'!E:E)</f>
        <v>622966.38600000006</v>
      </c>
      <c r="H75" s="2" t="s">
        <v>223</v>
      </c>
    </row>
    <row r="76" spans="1:8" x14ac:dyDescent="0.2">
      <c r="A76" s="5" t="s">
        <v>176</v>
      </c>
      <c r="B76" s="5" t="str">
        <f>_xlfn.XLOOKUP($A76, '1.2 FY2017'!$A$5:$A$86, '1.2 FY2017'!B$5:B$86 )</f>
        <v>Corporate recharges</v>
      </c>
      <c r="C76" s="5" t="str">
        <f>_xlfn.XLOOKUP($A76, '1.2 FY2017'!$A$5:$A$86, '1.2 FY2017'!C$5:C$86 )</f>
        <v>1076</v>
      </c>
      <c r="D76" s="5" t="str">
        <f>_xlfn.XLOOKUP($A76, '1.2 FY2017'!$A$5:$A$86, '1.2 FY2017'!D$5:D$86 )</f>
        <v>Generco Trading Ltd</v>
      </c>
      <c r="E76" s="30">
        <f>-SUMIF('1.1 FY2016'!$A:$A, '2.1 Database'!A76,'1.1 FY2016'!E:E)</f>
        <v>0</v>
      </c>
      <c r="F76" s="30">
        <f>-SUMIF('1.2 FY2017'!A:A,'2.1 Database'!A76,'1.2 FY2017'!E:E)</f>
        <v>364243.84499999997</v>
      </c>
      <c r="G76" s="30">
        <f>-SUMIF('1.3 FY2018'!A:A,'2.1 Database'!A76,'1.3 FY2018'!E:E)</f>
        <v>0</v>
      </c>
      <c r="H76" s="2" t="s">
        <v>223</v>
      </c>
    </row>
    <row r="77" spans="1:8" x14ac:dyDescent="0.2">
      <c r="A77" s="5" t="s">
        <v>177</v>
      </c>
      <c r="B77" s="5" t="str">
        <f>_xlfn.XLOOKUP($A77, '1.2 FY2017'!$A$5:$A$86, '1.2 FY2017'!B$5:B$86 )</f>
        <v>Corporate recharges</v>
      </c>
      <c r="C77" s="5" t="str">
        <f>_xlfn.XLOOKUP($A77, '1.2 FY2017'!$A$5:$A$86, '1.2 FY2017'!C$5:C$86 )</f>
        <v>1086</v>
      </c>
      <c r="D77" s="5" t="str">
        <f>_xlfn.XLOOKUP($A77, '1.2 FY2017'!$A$5:$A$86, '1.2 FY2017'!D$5:D$86 )</f>
        <v>G&amp;Resources Ltd</v>
      </c>
      <c r="E77" s="30">
        <f>-SUMIF('1.1 FY2016'!$A:$A, '2.1 Database'!A77,'1.1 FY2016'!E:E)</f>
        <v>0</v>
      </c>
      <c r="F77" s="30">
        <f>-SUMIF('1.2 FY2017'!A:A,'2.1 Database'!A77,'1.2 FY2017'!E:E)</f>
        <v>0</v>
      </c>
      <c r="G77" s="30">
        <f>-SUMIF('1.3 FY2018'!A:A,'2.1 Database'!A77,'1.3 FY2018'!E:E)</f>
        <v>0</v>
      </c>
      <c r="H77" s="2" t="s">
        <v>223</v>
      </c>
    </row>
    <row r="78" spans="1:8" x14ac:dyDescent="0.2">
      <c r="A78" s="5" t="s">
        <v>205</v>
      </c>
      <c r="B78" s="5" t="str">
        <f>_xlfn.XLOOKUP($A78, '1.3 FY2018'!$A$5:$A$78, '1.3 FY2018'!B$5:B$78 )</f>
        <v>Corporate recharges</v>
      </c>
      <c r="C78" s="5">
        <f>_xlfn.XLOOKUP($A78, '1.3 FY2018'!$A$5:$A$78, '1.3 FY2018'!C$5:C$78 )</f>
        <v>1006</v>
      </c>
      <c r="D78" s="5" t="str">
        <f>_xlfn.XLOOKUP($A78, '1.3 FY2018'!$A$5:$A$78, '1.3 FY2018'!D$5:D$78 )</f>
        <v>Generco Mining GmbH</v>
      </c>
      <c r="E78" s="30">
        <f>-SUMIF('1.1 FY2016'!$A:$A, '2.1 Database'!A78,'1.1 FY2016'!E:E)</f>
        <v>0</v>
      </c>
      <c r="F78" s="30">
        <f>-SUMIF('1.2 FY2017'!A:A,'2.1 Database'!A78,'1.2 FY2017'!E:E)</f>
        <v>0</v>
      </c>
      <c r="G78" s="30">
        <f>-SUMIF('1.3 FY2018'!A:A,'2.1 Database'!A78,'1.3 FY2018'!E:E)</f>
        <v>0</v>
      </c>
      <c r="H78" s="2" t="s">
        <v>70</v>
      </c>
    </row>
    <row r="79" spans="1:8" x14ac:dyDescent="0.2">
      <c r="A79" s="5" t="s">
        <v>178</v>
      </c>
      <c r="B79" s="5" t="str">
        <f>_xlfn.XLOOKUP($A79, '1.2 FY2017'!$A$5:$A$86, '1.2 FY2017'!B$5:B$86 )</f>
        <v>Corporate recharges</v>
      </c>
      <c r="C79" s="5" t="str">
        <f>_xlfn.XLOOKUP($A79, '1.2 FY2017'!$A$5:$A$86, '1.2 FY2017'!C$5:C$86 )</f>
        <v>47037</v>
      </c>
      <c r="D79" s="5" t="str">
        <f>_xlfn.XLOOKUP($A79, '1.2 FY2017'!$A$5:$A$86, '1.2 FY2017'!D$5:D$86 )</f>
        <v>G&amp;CR Global Ltd</v>
      </c>
      <c r="E79" s="30">
        <f>-SUMIF('1.1 FY2016'!$A:$A, '2.1 Database'!A79,'1.1 FY2016'!E:E)</f>
        <v>0</v>
      </c>
      <c r="F79" s="30">
        <f>-SUMIF('1.2 FY2017'!A:A,'2.1 Database'!A79,'1.2 FY2017'!E:E)</f>
        <v>482611.04499999998</v>
      </c>
      <c r="G79" s="30">
        <f>-SUMIF('1.3 FY2018'!A:A,'2.1 Database'!A79,'1.3 FY2018'!E:E)</f>
        <v>1948832.1429999999</v>
      </c>
      <c r="H79" s="2" t="s">
        <v>221</v>
      </c>
    </row>
    <row r="80" spans="1:8" x14ac:dyDescent="0.2">
      <c r="A80" s="5" t="s">
        <v>206</v>
      </c>
      <c r="B80" s="5" t="str">
        <f>_xlfn.XLOOKUP($A80, '1.3 FY2018'!$A$5:$A$78, '1.3 FY2018'!B$5:B$78 )</f>
        <v>Reimbursements+compensation for damages</v>
      </c>
      <c r="C80" s="5">
        <f>_xlfn.XLOOKUP($A80, '1.3 FY2018'!$A$5:$A$78, '1.3 FY2018'!C$5:C$78 )</f>
        <v>111111</v>
      </c>
      <c r="D80" s="5" t="str">
        <f>_xlfn.XLOOKUP($A80, '1.3 FY2018'!$A$5:$A$78, '1.3 FY2018'!D$5:D$78 )</f>
        <v>External</v>
      </c>
      <c r="E80" s="30">
        <f>-SUMIF('1.1 FY2016'!$A:$A, '2.1 Database'!A80,'1.1 FY2016'!E:E)</f>
        <v>0</v>
      </c>
      <c r="F80" s="30">
        <f>-SUMIF('1.2 FY2017'!A:A,'2.1 Database'!A80,'1.2 FY2017'!E:E)</f>
        <v>0</v>
      </c>
      <c r="G80" s="30">
        <f>-SUMIF('1.3 FY2018'!A:A,'2.1 Database'!A80,'1.3 FY2018'!E:E)</f>
        <v>61499.999999999993</v>
      </c>
      <c r="H80" s="2" t="s">
        <v>225</v>
      </c>
    </row>
    <row r="81" spans="1:8" x14ac:dyDescent="0.2">
      <c r="A81" s="5" t="s">
        <v>207</v>
      </c>
      <c r="B81" s="5" t="str">
        <f>_xlfn.XLOOKUP($A81, '1.3 FY2018'!$A$5:$A$78, '1.3 FY2018'!B$5:B$78 )</f>
        <v>Other income</v>
      </c>
      <c r="C81" s="5">
        <f>_xlfn.XLOOKUP($A81, '1.3 FY2018'!$A$5:$A$78, '1.3 FY2018'!C$5:C$78 )</f>
        <v>105</v>
      </c>
      <c r="D81" s="5" t="str">
        <f>_xlfn.XLOOKUP($A81, '1.3 FY2018'!$A$5:$A$78, '1.3 FY2018'!D$5:D$78 )</f>
        <v>Generco Healthcare Ltd</v>
      </c>
      <c r="E81" s="30">
        <f>-SUMIF('1.1 FY2016'!$A:$A, '2.1 Database'!A81,'1.1 FY2016'!E:E)</f>
        <v>0</v>
      </c>
      <c r="F81" s="30">
        <f>-SUMIF('1.2 FY2017'!A:A,'2.1 Database'!A81,'1.2 FY2017'!E:E)</f>
        <v>0</v>
      </c>
      <c r="G81" s="30">
        <f>-SUMIF('1.3 FY2018'!A:A,'2.1 Database'!A81,'1.3 FY2018'!E:E)</f>
        <v>30913.425999999996</v>
      </c>
    </row>
    <row r="82" spans="1:8" x14ac:dyDescent="0.2">
      <c r="A82" s="5" t="s">
        <v>208</v>
      </c>
      <c r="B82" s="5" t="str">
        <f>_xlfn.XLOOKUP($A82, '1.3 FY2018'!$A$5:$A$78, '1.3 FY2018'!B$5:B$78 )</f>
        <v>Leasings</v>
      </c>
      <c r="C82" s="5">
        <f>_xlfn.XLOOKUP($A82, '1.3 FY2018'!$A$5:$A$78, '1.3 FY2018'!C$5:C$78 )</f>
        <v>105</v>
      </c>
      <c r="D82" s="5" t="str">
        <f>_xlfn.XLOOKUP($A82, '1.3 FY2018'!$A$5:$A$78, '1.3 FY2018'!D$5:D$78 )</f>
        <v>Generco Healthcare Ltd</v>
      </c>
      <c r="E82" s="30">
        <f>-SUMIF('1.1 FY2016'!$A:$A, '2.1 Database'!A82,'1.1 FY2016'!E:E)</f>
        <v>0</v>
      </c>
      <c r="F82" s="30">
        <f>-SUMIF('1.2 FY2017'!A:A,'2.1 Database'!A82,'1.2 FY2017'!E:E)</f>
        <v>0</v>
      </c>
      <c r="G82" s="30">
        <f>-SUMIF('1.3 FY2018'!A:A,'2.1 Database'!A82,'1.3 FY2018'!E:E)</f>
        <v>1423120</v>
      </c>
      <c r="H82" s="2" t="s">
        <v>221</v>
      </c>
    </row>
    <row r="83" spans="1:8" x14ac:dyDescent="0.2">
      <c r="A83" s="5" t="s">
        <v>181</v>
      </c>
      <c r="B83" s="5" t="str">
        <f>_xlfn.XLOOKUP($A83, '1.2 FY2017'!$A$5:$A$86, '1.2 FY2017'!B$5:B$86 )</f>
        <v>Service expenses</v>
      </c>
      <c r="C83" s="5">
        <f>_xlfn.XLOOKUP($A83, '1.2 FY2017'!$A$5:$A$86, '1.2 FY2017'!C$5:C$86 )</f>
        <v>105</v>
      </c>
      <c r="D83" s="5" t="str">
        <f>_xlfn.XLOOKUP($A83, '1.2 FY2017'!$A$5:$A$86, '1.2 FY2017'!D$5:D$86 )</f>
        <v>Generco Healthcare Ltd</v>
      </c>
      <c r="E83" s="30">
        <f>-SUMIF('1.1 FY2016'!$A:$A, '2.1 Database'!A83,'1.1 FY2016'!E:E)</f>
        <v>0</v>
      </c>
      <c r="F83" s="30">
        <f>-SUMIF('1.2 FY2017'!A:A,'2.1 Database'!A83,'1.2 FY2017'!E:E)</f>
        <v>-276920</v>
      </c>
      <c r="G83" s="30">
        <f>-SUMIF('1.3 FY2018'!A:A,'2.1 Database'!A83,'1.3 FY2018'!E:E)</f>
        <v>-473575.46100000001</v>
      </c>
      <c r="H83" s="2" t="s">
        <v>228</v>
      </c>
    </row>
    <row r="84" spans="1:8" x14ac:dyDescent="0.2">
      <c r="A84" s="5" t="s">
        <v>209</v>
      </c>
      <c r="B84" s="5" t="str">
        <f>_xlfn.XLOOKUP($A84, '1.3 FY2018'!$A$5:$A$78, '1.3 FY2018'!B$5:B$78 )</f>
        <v>Insurance expenses</v>
      </c>
      <c r="C84" s="5">
        <f>_xlfn.XLOOKUP($A84, '1.3 FY2018'!$A$5:$A$78, '1.3 FY2018'!C$5:C$78 )</f>
        <v>88</v>
      </c>
      <c r="D84" s="5" t="str">
        <f>_xlfn.XLOOKUP($A84, '1.3 FY2018'!$A$5:$A$78, '1.3 FY2018'!D$5:D$78 )</f>
        <v>Generco Ltd</v>
      </c>
      <c r="E84" s="30">
        <f>-SUMIF('1.1 FY2016'!$A:$A, '2.1 Database'!A84,'1.1 FY2016'!E:E)</f>
        <v>0</v>
      </c>
      <c r="F84" s="30">
        <f>-SUMIF('1.2 FY2017'!A:A,'2.1 Database'!A84,'1.2 FY2017'!E:E)</f>
        <v>0</v>
      </c>
      <c r="G84" s="30">
        <f>-SUMIF('1.3 FY2018'!A:A,'2.1 Database'!A84,'1.3 FY2018'!E:E)</f>
        <v>-584.66</v>
      </c>
      <c r="H84" s="2" t="s">
        <v>221</v>
      </c>
    </row>
    <row r="85" spans="1:8" x14ac:dyDescent="0.2">
      <c r="A85" s="5" t="s">
        <v>210</v>
      </c>
      <c r="B85" s="5" t="str">
        <f>_xlfn.XLOOKUP($A85, '1.3 FY2018'!$A$5:$A$78, '1.3 FY2018'!B$5:B$78 )</f>
        <v>Repairs/Maintenance costs</v>
      </c>
      <c r="C85" s="5">
        <f>_xlfn.XLOOKUP($A85, '1.3 FY2018'!$A$5:$A$78, '1.3 FY2018'!C$5:C$78 )</f>
        <v>111111</v>
      </c>
      <c r="D85" s="5" t="str">
        <f>_xlfn.XLOOKUP($A85, '1.3 FY2018'!$A$5:$A$78, '1.3 FY2018'!D$5:D$78 )</f>
        <v>External</v>
      </c>
      <c r="E85" s="30">
        <f>-SUMIF('1.1 FY2016'!$A:$A, '2.1 Database'!A85,'1.1 FY2016'!E:E)</f>
        <v>0</v>
      </c>
      <c r="F85" s="30">
        <f>-SUMIF('1.2 FY2017'!A:A,'2.1 Database'!A85,'1.2 FY2017'!E:E)</f>
        <v>0</v>
      </c>
      <c r="G85" s="30">
        <f>-SUMIF('1.3 FY2018'!A:A,'2.1 Database'!A85,'1.3 FY2018'!E:E)</f>
        <v>-1352.9999999999998</v>
      </c>
      <c r="H85" s="2" t="s">
        <v>221</v>
      </c>
    </row>
    <row r="86" spans="1:8" x14ac:dyDescent="0.2">
      <c r="A86" s="5" t="s">
        <v>190</v>
      </c>
      <c r="B86" s="5" t="str">
        <f>_xlfn.XLOOKUP($A86, '1.2 FY2017'!$A$5:$A$86, '1.2 FY2017'!B$5:B$86 )</f>
        <v>Misc extraordinary expenses</v>
      </c>
      <c r="C86" s="5" t="str">
        <f>_xlfn.XLOOKUP($A86, '1.2 FY2017'!$A$5:$A$86, '1.2 FY2017'!C$5:C$86 )</f>
        <v>1924</v>
      </c>
      <c r="D86" s="5" t="str">
        <f>_xlfn.XLOOKUP($A86, '1.2 FY2017'!$A$5:$A$86, '1.2 FY2017'!D$5:D$86 )</f>
        <v>Generco Infrastructure Ltd</v>
      </c>
      <c r="E86" s="30">
        <f>-SUMIF('1.1 FY2016'!$A:$A, '2.1 Database'!A86,'1.1 FY2016'!E:E)</f>
        <v>0</v>
      </c>
      <c r="F86" s="30">
        <f>-SUMIF('1.2 FY2017'!A:A,'2.1 Database'!A86,'1.2 FY2017'!E:E)</f>
        <v>-84438.864999999991</v>
      </c>
      <c r="G86" s="30">
        <f>-SUMIF('1.3 FY2018'!A:A,'2.1 Database'!A86,'1.3 FY2018'!E:E)</f>
        <v>0</v>
      </c>
      <c r="H86" s="2" t="s">
        <v>221</v>
      </c>
    </row>
    <row r="87" spans="1:8" x14ac:dyDescent="0.2">
      <c r="A87" s="5" t="s">
        <v>191</v>
      </c>
      <c r="B87" s="5" t="str">
        <f>_xlfn.XLOOKUP($A87, '1.2 FY2017'!$A$5:$A$86, '1.2 FY2017'!B$5:B$86 )</f>
        <v>Difference from eliminations</v>
      </c>
      <c r="C87" s="5" t="str">
        <f>_xlfn.XLOOKUP($A87, '1.2 FY2017'!$A$5:$A$86, '1.2 FY2017'!C$5:C$86 )</f>
        <v>1086</v>
      </c>
      <c r="D87" s="5" t="str">
        <f>_xlfn.XLOOKUP($A87, '1.2 FY2017'!$A$5:$A$86, '1.2 FY2017'!D$5:D$86 )</f>
        <v>G&amp;Resources Ltd</v>
      </c>
      <c r="E87" s="30">
        <f>-SUMIF('1.1 FY2016'!$A:$A, '2.1 Database'!A87,'1.1 FY2016'!E:E)</f>
        <v>0</v>
      </c>
      <c r="F87" s="30">
        <f>-SUMIF('1.2 FY2017'!A:A,'2.1 Database'!A87,'1.2 FY2017'!E:E)</f>
        <v>0</v>
      </c>
      <c r="G87" s="30">
        <f>-SUMIF('1.3 FY2018'!A:A,'2.1 Database'!A87,'1.3 FY2018'!E:E)</f>
        <v>0</v>
      </c>
      <c r="H87" s="2" t="s">
        <v>228</v>
      </c>
    </row>
    <row r="88" spans="1:8" x14ac:dyDescent="0.2">
      <c r="A88" s="5" t="s">
        <v>192</v>
      </c>
      <c r="B88" s="5" t="str">
        <f>_xlfn.XLOOKUP($A88, '1.2 FY2017'!$A$5:$A$86, '1.2 FY2017'!B$5:B$86 )</f>
        <v>Interest income</v>
      </c>
      <c r="C88" s="5" t="str">
        <f>_xlfn.XLOOKUP($A88, '1.2 FY2017'!$A$5:$A$86, '1.2 FY2017'!C$5:C$86 )</f>
        <v>1086</v>
      </c>
      <c r="D88" s="5" t="str">
        <f>_xlfn.XLOOKUP($A88, '1.2 FY2017'!$A$5:$A$86, '1.2 FY2017'!D$5:D$86 )</f>
        <v>G&amp;Resources Ltd</v>
      </c>
      <c r="E88" s="30">
        <f>-SUMIF('1.1 FY2016'!$A:$A, '2.1 Database'!A88,'1.1 FY2016'!E:E)</f>
        <v>0</v>
      </c>
      <c r="F88" s="30">
        <f>-SUMIF('1.2 FY2017'!A:A,'2.1 Database'!A88,'1.2 FY2017'!E:E)</f>
        <v>0</v>
      </c>
      <c r="G88" s="30">
        <f>-SUMIF('1.3 FY2018'!A:A,'2.1 Database'!A88,'1.3 FY2018'!E:E)</f>
        <v>0</v>
      </c>
      <c r="H88" s="2" t="s">
        <v>228</v>
      </c>
    </row>
    <row r="89" spans="1:8" x14ac:dyDescent="0.2">
      <c r="A89" s="5" t="s">
        <v>193</v>
      </c>
      <c r="B89" s="5" t="str">
        <f>_xlfn.XLOOKUP($A89, '1.2 FY2017'!$A$5:$A$86, '1.2 FY2017'!B$5:B$86 )</f>
        <v>Interest income</v>
      </c>
      <c r="C89" s="5">
        <f>_xlfn.XLOOKUP($A89, '1.2 FY2017'!$A$5:$A$86, '1.2 FY2017'!C$5:C$86 )</f>
        <v>1006</v>
      </c>
      <c r="D89" s="5" t="str">
        <f>_xlfn.XLOOKUP($A89, '1.2 FY2017'!$A$5:$A$86, '1.2 FY2017'!D$5:D$86 )</f>
        <v>Generco Mining GmbH</v>
      </c>
      <c r="E89" s="30">
        <f>-SUMIF('1.1 FY2016'!$A:$A, '2.1 Database'!A89,'1.1 FY2016'!E:E)</f>
        <v>0</v>
      </c>
      <c r="F89" s="30">
        <f>-SUMIF('1.2 FY2017'!A:A,'2.1 Database'!A89,'1.2 FY2017'!E:E)</f>
        <v>6778.415</v>
      </c>
      <c r="G89" s="30">
        <f>-SUMIF('1.3 FY2018'!A:A,'2.1 Database'!A89,'1.3 FY2018'!E:E)</f>
        <v>0</v>
      </c>
      <c r="H89" s="2" t="s">
        <v>228</v>
      </c>
    </row>
    <row r="90" spans="1:8" x14ac:dyDescent="0.2">
      <c r="A90" s="5" t="s">
        <v>194</v>
      </c>
      <c r="B90" s="5" t="str">
        <f>_xlfn.XLOOKUP($A90, '1.2 FY2017'!$A$5:$A$86, '1.2 FY2017'!B$5:B$86 )</f>
        <v>Interest expenses</v>
      </c>
      <c r="C90" s="5">
        <f>_xlfn.XLOOKUP($A90, '1.2 FY2017'!$A$5:$A$86, '1.2 FY2017'!C$5:C$86 )</f>
        <v>1007</v>
      </c>
      <c r="D90" s="5" t="str">
        <f>_xlfn.XLOOKUP($A90, '1.2 FY2017'!$A$5:$A$86, '1.2 FY2017'!D$5:D$86 )</f>
        <v>Generco Semiconductors Ltd</v>
      </c>
      <c r="E90" s="30">
        <f>-SUMIF('1.1 FY2016'!$A:$A, '2.1 Database'!A90,'1.1 FY2016'!E:E)</f>
        <v>0</v>
      </c>
      <c r="F90" s="30">
        <f>-SUMIF('1.2 FY2017'!A:A,'2.1 Database'!A90,'1.2 FY2017'!E:E)</f>
        <v>0</v>
      </c>
      <c r="G90" s="30">
        <f>-SUMIF('1.3 FY2018'!A:A,'2.1 Database'!A90,'1.3 FY2018'!E:E)</f>
        <v>0</v>
      </c>
    </row>
    <row r="91" spans="1:8" x14ac:dyDescent="0.2">
      <c r="A91" s="5" t="s">
        <v>195</v>
      </c>
      <c r="B91" s="5" t="str">
        <f>_xlfn.XLOOKUP($A91, '1.2 FY2017'!$A$5:$A$86, '1.2 FY2017'!B$5:B$86 )</f>
        <v>Interest expenses</v>
      </c>
      <c r="C91" s="5">
        <f>_xlfn.XLOOKUP($A91, '1.2 FY2017'!$A$5:$A$86, '1.2 FY2017'!C$5:C$86 )</f>
        <v>111111</v>
      </c>
      <c r="D91" s="5" t="str">
        <f>_xlfn.XLOOKUP($A91, '1.2 FY2017'!$A$5:$A$86, '1.2 FY2017'!D$5:D$86 )</f>
        <v>External</v>
      </c>
      <c r="E91" s="30">
        <f>-SUMIF('1.1 FY2016'!$A:$A, '2.1 Database'!A91,'1.1 FY2016'!E:E)</f>
        <v>0</v>
      </c>
      <c r="F91" s="30">
        <f>-SUMIF('1.2 FY2017'!A:A,'2.1 Database'!A91,'1.2 FY2017'!E:E)</f>
        <v>-1250.7950000000001</v>
      </c>
      <c r="G91" s="30">
        <f>-SUMIF('1.3 FY2018'!A:A,'2.1 Database'!A91,'1.3 FY2018'!E:E)</f>
        <v>-51.454999999999998</v>
      </c>
      <c r="H91" s="2" t="s">
        <v>227</v>
      </c>
    </row>
    <row r="92" spans="1:8" x14ac:dyDescent="0.2">
      <c r="A92" s="5" t="s">
        <v>211</v>
      </c>
      <c r="B92" s="5" t="str">
        <f>_xlfn.XLOOKUP($A92, '1.3 FY2018'!$A$5:$A$78, '1.3 FY2018'!B$5:B$78 )</f>
        <v>Impairment of participation</v>
      </c>
      <c r="C92" s="5">
        <f>_xlfn.XLOOKUP($A92, '1.3 FY2018'!$A$5:$A$78, '1.3 FY2018'!C$5:C$78 )</f>
        <v>111101</v>
      </c>
      <c r="D92" s="5" t="str">
        <f>_xlfn.XLOOKUP($A92, '1.3 FY2018'!$A$5:$A$78, '1.3 FY2018'!D$5:D$78 )</f>
        <v>Not assigned</v>
      </c>
      <c r="E92" s="30">
        <f>-SUMIF('1.1 FY2016'!$A:$A, '2.1 Database'!A92,'1.1 FY2016'!E:E)</f>
        <v>0</v>
      </c>
      <c r="F92" s="30">
        <f>-SUMIF('1.2 FY2017'!A:A,'2.1 Database'!A92,'1.2 FY2017'!E:E)</f>
        <v>0</v>
      </c>
      <c r="G92" s="30">
        <f>-SUMIF('1.3 FY2018'!A:A,'2.1 Database'!A92,'1.3 FY2018'!E:E)</f>
        <v>0</v>
      </c>
      <c r="H92" s="2" t="s">
        <v>227</v>
      </c>
    </row>
    <row r="93" spans="1:8" x14ac:dyDescent="0.2">
      <c r="A93" s="5" t="s">
        <v>212</v>
      </c>
      <c r="B93" s="5" t="str">
        <f>_xlfn.XLOOKUP($A93, '1.3 FY2018'!$A$5:$A$78, '1.3 FY2018'!B$5:B$78 )</f>
        <v>Offset segments (tech.)</v>
      </c>
      <c r="C93" s="5">
        <f>_xlfn.XLOOKUP($A93, '1.3 FY2018'!$A$5:$A$78, '1.3 FY2018'!C$5:C$78 )</f>
        <v>111101</v>
      </c>
      <c r="D93" s="5" t="str">
        <f>_xlfn.XLOOKUP($A93, '1.3 FY2018'!$A$5:$A$78, '1.3 FY2018'!D$5:D$78 )</f>
        <v>Not assigned</v>
      </c>
      <c r="E93" s="30">
        <f>-SUMIF('1.1 FY2016'!$A:$A, '2.1 Database'!A93,'1.1 FY2016'!E:E)</f>
        <v>0</v>
      </c>
      <c r="F93" s="30">
        <f>-SUMIF('1.2 FY2017'!A:A,'2.1 Database'!A93,'1.2 FY2017'!E:E)</f>
        <v>0</v>
      </c>
      <c r="G93" s="30">
        <f>-SUMIF('1.3 FY2018'!A:A,'2.1 Database'!A93,'1.3 FY2018'!E:E)</f>
        <v>0</v>
      </c>
      <c r="H93" s="2" t="s">
        <v>227</v>
      </c>
    </row>
    <row r="94" spans="1:8" x14ac:dyDescent="0.2">
      <c r="A94" s="5" t="s">
        <v>198</v>
      </c>
      <c r="B94" s="5" t="str">
        <f>_xlfn.XLOOKUP($A94, '1.2 FY2017'!$A$5:$A$86, '1.2 FY2017'!B$5:B$86 )</f>
        <v>Net income/(loss)</v>
      </c>
      <c r="C94" s="5">
        <f>_xlfn.XLOOKUP($A94, '1.2 FY2017'!$A$5:$A$86, '1.2 FY2017'!C$5:C$86 )</f>
        <v>111101</v>
      </c>
      <c r="D94" s="5" t="str">
        <f>_xlfn.XLOOKUP($A94, '1.2 FY2017'!$A$5:$A$86, '1.2 FY2017'!D$5:D$86 )</f>
        <v>Not assigned</v>
      </c>
      <c r="E94" s="30">
        <f>-SUMIF('1.1 FY2016'!$A:$A, '2.1 Database'!A94,'1.1 FY2016'!E:E)</f>
        <v>0</v>
      </c>
      <c r="F94" s="30">
        <f>-SUMIF('1.2 FY2017'!A:A,'2.1 Database'!A94,'1.2 FY2017'!E:E)</f>
        <v>-6073808.1600000001</v>
      </c>
      <c r="G94" s="30">
        <f>-SUMIF('1.3 FY2018'!A:A,'2.1 Database'!A94,'1.3 FY2018'!E:E)</f>
        <v>779290.47600000002</v>
      </c>
      <c r="H94" s="2" t="s">
        <v>227</v>
      </c>
    </row>
    <row r="95" spans="1:8" x14ac:dyDescent="0.2">
      <c r="B95" s="5"/>
      <c r="C95" s="5"/>
      <c r="D95" s="5"/>
      <c r="H95" s="2" t="s">
        <v>228</v>
      </c>
    </row>
    <row r="96" spans="1:8" x14ac:dyDescent="0.2">
      <c r="A96" s="2" t="s">
        <v>218</v>
      </c>
      <c r="B96" s="2" t="s">
        <v>218</v>
      </c>
      <c r="C96" s="2" t="s">
        <v>218</v>
      </c>
      <c r="D96" s="2" t="s">
        <v>218</v>
      </c>
      <c r="E96" s="2" t="s">
        <v>218</v>
      </c>
      <c r="F96" s="2" t="s">
        <v>218</v>
      </c>
      <c r="G96" s="2" t="s">
        <v>218</v>
      </c>
    </row>
    <row r="97" spans="1:8" ht="15" x14ac:dyDescent="0.25">
      <c r="A97"/>
      <c r="H97" s="2" t="s">
        <v>230</v>
      </c>
    </row>
    <row r="98" spans="1:8" ht="15" x14ac:dyDescent="0.25">
      <c r="A98"/>
      <c r="H98" s="2" t="s">
        <v>221</v>
      </c>
    </row>
    <row r="99" spans="1:8" ht="15" x14ac:dyDescent="0.25">
      <c r="A99"/>
      <c r="H99" s="2" t="s">
        <v>221</v>
      </c>
    </row>
    <row r="100" spans="1:8" ht="15" x14ac:dyDescent="0.25">
      <c r="A100"/>
      <c r="H100" s="2" t="s">
        <v>221</v>
      </c>
    </row>
    <row r="101" spans="1:8" ht="15" x14ac:dyDescent="0.25">
      <c r="A101"/>
      <c r="H101" s="2" t="s">
        <v>221</v>
      </c>
    </row>
    <row r="102" spans="1:8" ht="15" x14ac:dyDescent="0.25">
      <c r="A102"/>
      <c r="H102" s="2" t="s">
        <v>221</v>
      </c>
    </row>
    <row r="103" spans="1:8" ht="15" x14ac:dyDescent="0.25">
      <c r="A103"/>
      <c r="H103" s="2" t="s">
        <v>221</v>
      </c>
    </row>
    <row r="104" spans="1:8" ht="15" x14ac:dyDescent="0.25">
      <c r="A104"/>
      <c r="H104" s="2" t="s">
        <v>223</v>
      </c>
    </row>
    <row r="105" spans="1:8" ht="15" x14ac:dyDescent="0.25">
      <c r="A105"/>
      <c r="H105" s="2" t="s">
        <v>221</v>
      </c>
    </row>
    <row r="106" spans="1:8" ht="15" x14ac:dyDescent="0.25">
      <c r="A106"/>
      <c r="H106" s="2" t="s">
        <v>70</v>
      </c>
    </row>
    <row r="107" spans="1:8" ht="15" x14ac:dyDescent="0.25">
      <c r="A107"/>
      <c r="H107" s="2" t="s">
        <v>224</v>
      </c>
    </row>
    <row r="108" spans="1:8" ht="15" x14ac:dyDescent="0.25">
      <c r="A108"/>
      <c r="H108" s="2" t="s">
        <v>221</v>
      </c>
    </row>
    <row r="109" spans="1:8" ht="15" x14ac:dyDescent="0.25">
      <c r="A109"/>
      <c r="H109" s="2" t="s">
        <v>221</v>
      </c>
    </row>
    <row r="110" spans="1:8" ht="15" x14ac:dyDescent="0.25">
      <c r="A110"/>
    </row>
    <row r="111" spans="1:8" ht="15" x14ac:dyDescent="0.25">
      <c r="A111"/>
    </row>
    <row r="112" spans="1:8" ht="15" x14ac:dyDescent="0.25">
      <c r="A112"/>
    </row>
    <row r="113" spans="1:1" ht="15" x14ac:dyDescent="0.25">
      <c r="A113"/>
    </row>
    <row r="114" spans="1:1" ht="15" x14ac:dyDescent="0.25">
      <c r="A114"/>
    </row>
    <row r="115" spans="1:1" ht="15" x14ac:dyDescent="0.25">
      <c r="A115"/>
    </row>
    <row r="116" spans="1:1" ht="15" x14ac:dyDescent="0.25">
      <c r="A116"/>
    </row>
    <row r="117" spans="1:1" ht="15" x14ac:dyDescent="0.25">
      <c r="A117"/>
    </row>
    <row r="118" spans="1:1" ht="15" x14ac:dyDescent="0.25">
      <c r="A118"/>
    </row>
    <row r="119" spans="1:1" ht="15" x14ac:dyDescent="0.25">
      <c r="A119"/>
    </row>
    <row r="120" spans="1:1" ht="15" x14ac:dyDescent="0.25">
      <c r="A120"/>
    </row>
    <row r="121" spans="1:1" ht="15" x14ac:dyDescent="0.25">
      <c r="A121"/>
    </row>
    <row r="122" spans="1:1" ht="15" x14ac:dyDescent="0.25">
      <c r="A122"/>
    </row>
    <row r="123" spans="1:1" ht="15" x14ac:dyDescent="0.25">
      <c r="A123"/>
    </row>
    <row r="124" spans="1:1" ht="15" x14ac:dyDescent="0.25">
      <c r="A124"/>
    </row>
    <row r="125" spans="1:1" ht="15" x14ac:dyDescent="0.25">
      <c r="A125"/>
    </row>
    <row r="126" spans="1:1" ht="15" x14ac:dyDescent="0.25">
      <c r="A126"/>
    </row>
    <row r="127" spans="1:1" ht="15" x14ac:dyDescent="0.25">
      <c r="A127"/>
    </row>
    <row r="128" spans="1:1" ht="15" x14ac:dyDescent="0.25">
      <c r="A128"/>
    </row>
    <row r="129" spans="1:1" ht="15" x14ac:dyDescent="0.25">
      <c r="A129"/>
    </row>
    <row r="130" spans="1:1" ht="15" x14ac:dyDescent="0.25">
      <c r="A130"/>
    </row>
    <row r="131" spans="1:1" ht="15" x14ac:dyDescent="0.25">
      <c r="A131"/>
    </row>
    <row r="132" spans="1:1" ht="15" x14ac:dyDescent="0.25">
      <c r="A132"/>
    </row>
    <row r="133" spans="1:1" ht="15" x14ac:dyDescent="0.25">
      <c r="A133"/>
    </row>
    <row r="134" spans="1:1" ht="15" x14ac:dyDescent="0.25">
      <c r="A134"/>
    </row>
    <row r="135" spans="1:1" ht="15" x14ac:dyDescent="0.25">
      <c r="A135"/>
    </row>
    <row r="136" spans="1:1" ht="15" x14ac:dyDescent="0.25">
      <c r="A136"/>
    </row>
    <row r="137" spans="1:1" ht="15" x14ac:dyDescent="0.25">
      <c r="A137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H29"/>
  <sheetViews>
    <sheetView showGridLines="0" zoomScale="85" zoomScaleNormal="85" workbookViewId="0">
      <selection activeCell="E25" sqref="E25"/>
    </sheetView>
  </sheetViews>
  <sheetFormatPr defaultRowHeight="15" x14ac:dyDescent="0.25"/>
  <cols>
    <col min="1" max="1" width="28.5703125" bestFit="1" customWidth="1"/>
    <col min="5" max="5" width="14.42578125" bestFit="1" customWidth="1"/>
    <col min="6" max="6" width="14" bestFit="1" customWidth="1"/>
  </cols>
  <sheetData>
    <row r="1" spans="1:8" ht="20.25" x14ac:dyDescent="0.3">
      <c r="A1" s="31" t="s">
        <v>232</v>
      </c>
    </row>
    <row r="2" spans="1:8" x14ac:dyDescent="0.25">
      <c r="A2" s="32" t="s">
        <v>240</v>
      </c>
      <c r="B2" s="32" t="s">
        <v>215</v>
      </c>
      <c r="C2" s="32" t="s">
        <v>216</v>
      </c>
      <c r="D2" s="32" t="s">
        <v>217</v>
      </c>
      <c r="E2" s="32" t="s">
        <v>241</v>
      </c>
      <c r="F2" s="32" t="s">
        <v>242</v>
      </c>
    </row>
    <row r="3" spans="1:8" ht="15.75" x14ac:dyDescent="0.25">
      <c r="A3" s="33" t="s">
        <v>220</v>
      </c>
      <c r="B3" s="37">
        <f>SUMIF('2.1 Database'!$H:$H,'2.2 P&amp;L statement'!$A3, '2.1 Database'!E:E)/1000000</f>
        <v>14.500341000000001</v>
      </c>
      <c r="C3" s="37">
        <f>SUMIF('2.1 Database'!$H:$H,'2.2 P&amp;L statement'!$A3, '2.1 Database'!F:F)/1000000</f>
        <v>16.148295364999999</v>
      </c>
      <c r="D3" s="37">
        <f>SUMIF('2.1 Database'!$H:$H,'2.2 P&amp;L statement'!$A3, '2.1 Database'!G:G)/1000000</f>
        <v>15.047803019</v>
      </c>
      <c r="E3" s="41">
        <f>IF(ISERROR((C3/B3)-1), "n.a.", IF(((C3/B3)-1)&gt;1, "&gt;100.0%", IF(((C3/B3)-1)&lt;-1, "&lt;-100.0%", ((C3/B3)-1))))</f>
        <v>0.11364935245315944</v>
      </c>
      <c r="F3" s="41">
        <f>IF(ISERROR((D3/C3)-1), "n.a.", IF(((D3/C3)-1)&gt;1, "&gt;100.0%", IF(((D3/C3)-1)&lt;-1, "&lt;-100.0%", ((D3/C3)-1))))</f>
        <v>-6.8149134080444096E-2</v>
      </c>
      <c r="H3" s="40" t="s">
        <v>243</v>
      </c>
    </row>
    <row r="4" spans="1:8" ht="15.75" x14ac:dyDescent="0.25">
      <c r="A4" s="33" t="s">
        <v>62</v>
      </c>
      <c r="B4" s="37">
        <f>SUMIF('2.1 Database'!$H:$H,'2.2 P&amp;L statement'!$A4, '2.1 Database'!E:E)/1000000</f>
        <v>4.7948561920000001</v>
      </c>
      <c r="C4" s="37">
        <f>SUMIF('2.1 Database'!$H:$H,'2.2 P&amp;L statement'!$A4, '2.1 Database'!F:F)/1000000</f>
        <v>6.9602176449999993</v>
      </c>
      <c r="D4" s="37">
        <f>SUMIF('2.1 Database'!$H:$H,'2.2 P&amp;L statement'!$A4, '2.1 Database'!G:G)/1000000</f>
        <v>6.3736175140000002</v>
      </c>
      <c r="E4" s="41">
        <f t="shared" ref="E4:E21" si="0">IF(ISERROR((C4/B4)-1), "n.a.", IF(((C4/B4)-1)&gt;1, "&gt;100.0%", IF(((C4/B4)-1)&lt;-1, "&lt;-100.0%", ((C4/B4)-1))))</f>
        <v>0.45160091696030569</v>
      </c>
      <c r="F4" s="41">
        <f t="shared" ref="F4:F21" si="1">IF(ISERROR((D4/C4)-1), "n.a.", IF(((D4/C4)-1)&gt;1, "&gt;100.0%", IF(((D4/C4)-1)&lt;-1, "&lt;-100.0%", ((D4/C4)-1))))</f>
        <v>-8.4278992542911935E-2</v>
      </c>
    </row>
    <row r="5" spans="1:8" ht="15.75" x14ac:dyDescent="0.25">
      <c r="A5" s="34" t="s">
        <v>223</v>
      </c>
      <c r="B5" s="38">
        <f>SUMIF('2.1 Database'!$H:$H,'2.2 P&amp;L statement'!$A5, '2.1 Database'!E:E)/1000000</f>
        <v>3.2200542519999997</v>
      </c>
      <c r="C5" s="38">
        <f>SUMIF('2.1 Database'!$H:$H,'2.2 P&amp;L statement'!$A5, '2.1 Database'!F:F)/1000000</f>
        <v>2.4414809500000003</v>
      </c>
      <c r="D5" s="38">
        <f>SUMIF('2.1 Database'!$H:$H,'2.2 P&amp;L statement'!$A5, '2.1 Database'!G:G)/1000000</f>
        <v>2.9455984239999995</v>
      </c>
      <c r="E5" s="41">
        <f t="shared" si="0"/>
        <v>-0.24178887716454522</v>
      </c>
      <c r="F5" s="41">
        <f t="shared" si="1"/>
        <v>0.20648019965095332</v>
      </c>
    </row>
    <row r="6" spans="1:8" ht="15.75" x14ac:dyDescent="0.25">
      <c r="A6" s="33" t="s">
        <v>233</v>
      </c>
      <c r="B6" s="37">
        <f>+SUM(B3:B5)</f>
        <v>22.515251444</v>
      </c>
      <c r="C6" s="37">
        <f t="shared" ref="C6:D6" si="2">+SUM(C3:C5)</f>
        <v>25.549993959999998</v>
      </c>
      <c r="D6" s="37">
        <f t="shared" si="2"/>
        <v>24.367018956999999</v>
      </c>
      <c r="E6" s="41">
        <f t="shared" si="0"/>
        <v>0.13478608149449367</v>
      </c>
      <c r="F6" s="41">
        <f t="shared" si="1"/>
        <v>-4.6300402452228218E-2</v>
      </c>
    </row>
    <row r="7" spans="1:8" ht="15.75" x14ac:dyDescent="0.25">
      <c r="A7" s="34" t="s">
        <v>95</v>
      </c>
      <c r="B7" s="38">
        <f>SUMIF('2.1 Database'!$H:$H,'2.2 P&amp;L statement'!$A7, '2.1 Database'!E:E)/1000000</f>
        <v>-4.4289117640000004</v>
      </c>
      <c r="C7" s="38">
        <f>SUMIF('2.1 Database'!$H:$H,'2.2 P&amp;L statement'!$A7, '2.1 Database'!F:F)/1000000</f>
        <v>-5.4631888250000005</v>
      </c>
      <c r="D7" s="38">
        <f>SUMIF('2.1 Database'!$H:$H,'2.2 P&amp;L statement'!$A7, '2.1 Database'!G:G)/1000000</f>
        <v>-5.6741520669999996</v>
      </c>
      <c r="E7" s="41">
        <f t="shared" si="0"/>
        <v>0.23352848647991253</v>
      </c>
      <c r="F7" s="41">
        <f t="shared" si="1"/>
        <v>3.861540370609462E-2</v>
      </c>
    </row>
    <row r="8" spans="1:8" ht="15.75" x14ac:dyDescent="0.25">
      <c r="A8" s="33" t="s">
        <v>234</v>
      </c>
      <c r="B8" s="37">
        <f>+SUM(B6:B7)</f>
        <v>18.086339680000002</v>
      </c>
      <c r="C8" s="37">
        <f t="shared" ref="C8:D8" si="3">+SUM(C6:C7)</f>
        <v>20.086805134999999</v>
      </c>
      <c r="D8" s="37">
        <f t="shared" si="3"/>
        <v>18.692866889999998</v>
      </c>
      <c r="E8" s="41">
        <f t="shared" si="0"/>
        <v>0.11060642951498512</v>
      </c>
      <c r="F8" s="41">
        <f t="shared" si="1"/>
        <v>-6.9395717020779513E-2</v>
      </c>
    </row>
    <row r="9" spans="1:8" ht="15.75" x14ac:dyDescent="0.25">
      <c r="A9" s="33" t="s">
        <v>235</v>
      </c>
      <c r="B9" s="37">
        <f>SUMIF('2.1 Database'!$H:$H,'2.2 P&amp;L statement'!$A9, '2.1 Database'!E:E)/1000000</f>
        <v>0</v>
      </c>
      <c r="C9" s="37">
        <f>SUMIF('2.1 Database'!$H:$H,'2.2 P&amp;L statement'!$A9, '2.1 Database'!F:F)/1000000</f>
        <v>0</v>
      </c>
      <c r="D9" s="37">
        <f>SUMIF('2.1 Database'!$H:$H,'2.2 P&amp;L statement'!$A9, '2.1 Database'!G:G)/1000000</f>
        <v>0</v>
      </c>
      <c r="E9" s="41" t="str">
        <f t="shared" si="0"/>
        <v>n.a.</v>
      </c>
      <c r="F9" s="41" t="str">
        <f t="shared" si="1"/>
        <v>n.a.</v>
      </c>
    </row>
    <row r="10" spans="1:8" ht="15.75" x14ac:dyDescent="0.25">
      <c r="A10" s="33" t="s">
        <v>222</v>
      </c>
      <c r="B10" s="37">
        <f>SUMIF('2.1 Database'!$H:$H,'2.2 P&amp;L statement'!$A10, '2.1 Database'!E:E)/1000000</f>
        <v>-6.17073904</v>
      </c>
      <c r="C10" s="37">
        <f>SUMIF('2.1 Database'!$H:$H,'2.2 P&amp;L statement'!$A10, '2.1 Database'!F:F)/1000000</f>
        <v>-8.0649390949999997</v>
      </c>
      <c r="D10" s="37">
        <f>SUMIF('2.1 Database'!$H:$H,'2.2 P&amp;L statement'!$A10, '2.1 Database'!G:G)/1000000</f>
        <v>-5.8408081759999995</v>
      </c>
      <c r="E10" s="41">
        <f t="shared" si="0"/>
        <v>0.30696486153788149</v>
      </c>
      <c r="F10" s="41">
        <f t="shared" si="1"/>
        <v>-0.27577777002418891</v>
      </c>
    </row>
    <row r="11" spans="1:8" ht="15.75" x14ac:dyDescent="0.25">
      <c r="A11" s="33" t="s">
        <v>224</v>
      </c>
      <c r="B11" s="37">
        <f>SUMIF('2.1 Database'!$H:$H,'2.2 P&amp;L statement'!$A11, '2.1 Database'!E:E)/1000000</f>
        <v>-1.127445872</v>
      </c>
      <c r="C11" s="37">
        <f>SUMIF('2.1 Database'!$H:$H,'2.2 P&amp;L statement'!$A11, '2.1 Database'!F:F)/1000000</f>
        <v>-1.0553814750000001</v>
      </c>
      <c r="D11" s="37">
        <f>SUMIF('2.1 Database'!$H:$H,'2.2 P&amp;L statement'!$A11, '2.1 Database'!G:G)/1000000</f>
        <v>0.17293344899999999</v>
      </c>
      <c r="E11" s="41">
        <f t="shared" si="0"/>
        <v>-6.391827651305626E-2</v>
      </c>
      <c r="F11" s="41" t="str">
        <f t="shared" si="1"/>
        <v>&lt;-100.0%</v>
      </c>
    </row>
    <row r="12" spans="1:8" ht="15.75" x14ac:dyDescent="0.25">
      <c r="A12" s="33" t="s">
        <v>226</v>
      </c>
      <c r="B12" s="37">
        <f>SUMIF('2.1 Database'!$H:$H,'2.2 P&amp;L statement'!$A12, '2.1 Database'!E:E)/1000000</f>
        <v>-1.8135250039999999</v>
      </c>
      <c r="C12" s="37">
        <f>SUMIF('2.1 Database'!$H:$H,'2.2 P&amp;L statement'!$A12, '2.1 Database'!F:F)/1000000</f>
        <v>-2.3932591899999998</v>
      </c>
      <c r="D12" s="37">
        <f>SUMIF('2.1 Database'!$H:$H,'2.2 P&amp;L statement'!$A12, '2.1 Database'!G:G)/1000000</f>
        <v>-2.5144318869999998</v>
      </c>
      <c r="E12" s="41">
        <f t="shared" si="0"/>
        <v>0.31967256294857238</v>
      </c>
      <c r="F12" s="41">
        <f t="shared" si="1"/>
        <v>5.0630829082912721E-2</v>
      </c>
    </row>
    <row r="13" spans="1:8" ht="15.75" x14ac:dyDescent="0.25">
      <c r="A13" s="33" t="s">
        <v>70</v>
      </c>
      <c r="B13" s="37">
        <f>SUMIF('2.1 Database'!$H:$H,'2.2 P&amp;L statement'!$A13, '2.1 Database'!E:E)/1000000</f>
        <v>5.7221999999999995E-5</v>
      </c>
      <c r="C13" s="37">
        <f>SUMIF('2.1 Database'!$H:$H,'2.2 P&amp;L statement'!$A13, '2.1 Database'!F:F)/1000000</f>
        <v>-9.7938399999999998E-3</v>
      </c>
      <c r="D13" s="37">
        <f>SUMIF('2.1 Database'!$H:$H,'2.2 P&amp;L statement'!$A13, '2.1 Database'!G:G)/1000000</f>
        <v>1.5872002E-2</v>
      </c>
      <c r="E13" s="41" t="str">
        <f t="shared" si="0"/>
        <v>&lt;-100.0%</v>
      </c>
      <c r="F13" s="41" t="str">
        <f t="shared" si="1"/>
        <v>&lt;-100.0%</v>
      </c>
    </row>
    <row r="14" spans="1:8" ht="15.75" x14ac:dyDescent="0.25">
      <c r="A14" s="34" t="s">
        <v>63</v>
      </c>
      <c r="B14" s="38">
        <f>SUMIF('2.1 Database'!$H:$H,'2.2 P&amp;L statement'!$A14, '2.1 Database'!E:E)/1000000</f>
        <v>5.2683321979999995</v>
      </c>
      <c r="C14" s="38">
        <f>SUMIF('2.1 Database'!$H:$H,'2.2 P&amp;L statement'!$A14, '2.1 Database'!F:F)/1000000</f>
        <v>0.31022047000000003</v>
      </c>
      <c r="D14" s="38">
        <f>SUMIF('2.1 Database'!$H:$H,'2.2 P&amp;L statement'!$A14, '2.1 Database'!G:G)/1000000</f>
        <v>-2.050451E-2</v>
      </c>
      <c r="E14" s="41">
        <f t="shared" si="0"/>
        <v>-0.94111600059734879</v>
      </c>
      <c r="F14" s="41" t="str">
        <f t="shared" si="1"/>
        <v>&lt;-100.0%</v>
      </c>
    </row>
    <row r="15" spans="1:8" ht="15.75" x14ac:dyDescent="0.25">
      <c r="A15" s="42" t="s">
        <v>236</v>
      </c>
      <c r="B15" s="43">
        <f>+SUM(B8:B14)</f>
        <v>14.243019184000001</v>
      </c>
      <c r="C15" s="43">
        <f t="shared" ref="C15:D15" si="4">+SUM(C8:C14)</f>
        <v>8.8736520049999985</v>
      </c>
      <c r="D15" s="43">
        <f t="shared" si="4"/>
        <v>10.505927767999999</v>
      </c>
      <c r="E15" s="44">
        <f t="shared" si="0"/>
        <v>-0.37698237358492925</v>
      </c>
      <c r="F15" s="44">
        <f t="shared" si="1"/>
        <v>0.18394633484390299</v>
      </c>
    </row>
    <row r="16" spans="1:8" ht="15.75" x14ac:dyDescent="0.25">
      <c r="A16" s="34" t="s">
        <v>68</v>
      </c>
      <c r="B16" s="38">
        <f>SUMIF('2.1 Database'!$H:$H,'2.2 P&amp;L statement'!$A16, '2.1 Database'!E:E)/1000000</f>
        <v>-2.045243514</v>
      </c>
      <c r="C16" s="38">
        <f>SUMIF('2.1 Database'!$H:$H,'2.2 P&amp;L statement'!$A16, '2.1 Database'!F:F)/1000000</f>
        <v>-2.0440058150000002</v>
      </c>
      <c r="D16" s="38">
        <f>SUMIF('2.1 Database'!$H:$H,'2.2 P&amp;L statement'!$A16, '2.1 Database'!G:G)/1000000</f>
        <v>-1.8883615140000001</v>
      </c>
      <c r="E16" s="41">
        <f t="shared" si="0"/>
        <v>-6.0515972378227811E-4</v>
      </c>
      <c r="F16" s="41">
        <f t="shared" si="1"/>
        <v>-7.6146701666795491E-2</v>
      </c>
    </row>
    <row r="17" spans="1:6" ht="15.75" x14ac:dyDescent="0.25">
      <c r="A17" s="33" t="s">
        <v>237</v>
      </c>
      <c r="B17" s="37">
        <f>+SUM(B15:B16)</f>
        <v>12.197775670000002</v>
      </c>
      <c r="C17" s="37">
        <f t="shared" ref="C17:D17" si="5">+SUM(C15:C16)</f>
        <v>6.8296461899999983</v>
      </c>
      <c r="D17" s="37">
        <f t="shared" si="5"/>
        <v>8.6175662539999998</v>
      </c>
      <c r="E17" s="41">
        <f t="shared" si="0"/>
        <v>-0.44009085141668314</v>
      </c>
      <c r="F17" s="41">
        <f t="shared" si="1"/>
        <v>0.2617880947651261</v>
      </c>
    </row>
    <row r="18" spans="1:6" ht="15.75" x14ac:dyDescent="0.25">
      <c r="A18" s="33" t="s">
        <v>227</v>
      </c>
      <c r="B18" s="37">
        <f>SUMIF('2.1 Database'!$H:$H,'2.2 P&amp;L statement'!$A18, '2.1 Database'!E:E)/1000000</f>
        <v>-2.8426923660000001</v>
      </c>
      <c r="C18" s="37">
        <f>SUMIF('2.1 Database'!$H:$H,'2.2 P&amp;L statement'!$A18, '2.1 Database'!F:F)/1000000</f>
        <v>-8.7913334950000017</v>
      </c>
      <c r="D18" s="37">
        <f>SUMIF('2.1 Database'!$H:$H,'2.2 P&amp;L statement'!$A18, '2.1 Database'!G:G)/1000000</f>
        <v>-1.4714173529999999</v>
      </c>
      <c r="E18" s="41" t="str">
        <f t="shared" si="0"/>
        <v>&gt;100.0%</v>
      </c>
      <c r="F18" s="41">
        <f t="shared" si="1"/>
        <v>-0.83262865026826061</v>
      </c>
    </row>
    <row r="19" spans="1:6" ht="15.75" x14ac:dyDescent="0.25">
      <c r="A19" s="34" t="s">
        <v>228</v>
      </c>
      <c r="B19" s="38">
        <f>SUMIF('2.1 Database'!$H:$H,'2.2 P&amp;L statement'!$A19, '2.1 Database'!E:E)/1000000</f>
        <v>-2.2762999999999999E-2</v>
      </c>
      <c r="C19" s="38">
        <f>SUMIF('2.1 Database'!$H:$H,'2.2 P&amp;L statement'!$A19, '2.1 Database'!F:F)/1000000</f>
        <v>-0.35075876500000003</v>
      </c>
      <c r="D19" s="38">
        <f>SUMIF('2.1 Database'!$H:$H,'2.2 P&amp;L statement'!$A19, '2.1 Database'!G:G)/1000000</f>
        <v>-0.48074865700000002</v>
      </c>
      <c r="E19" s="41" t="str">
        <f t="shared" si="0"/>
        <v>&gt;100.0%</v>
      </c>
      <c r="F19" s="41">
        <f t="shared" si="1"/>
        <v>0.37059627576234622</v>
      </c>
    </row>
    <row r="20" spans="1:6" ht="15.75" x14ac:dyDescent="0.25">
      <c r="A20" s="33" t="s">
        <v>238</v>
      </c>
      <c r="B20" s="37">
        <f>SUM(B17:B19)</f>
        <v>9.3323203040000031</v>
      </c>
      <c r="C20" s="37">
        <f t="shared" ref="C20:D20" si="6">SUM(C17:C19)</f>
        <v>-2.3124460700000036</v>
      </c>
      <c r="D20" s="37">
        <f t="shared" si="6"/>
        <v>6.6654002439999998</v>
      </c>
      <c r="E20" s="41" t="str">
        <f t="shared" si="0"/>
        <v>&lt;-100.0%</v>
      </c>
      <c r="F20" s="41" t="str">
        <f t="shared" si="1"/>
        <v>&lt;-100.0%</v>
      </c>
    </row>
    <row r="21" spans="1:6" ht="16.5" thickBot="1" x14ac:dyDescent="0.3">
      <c r="A21" s="33" t="s">
        <v>229</v>
      </c>
      <c r="B21" s="37">
        <f>SUMIF('2.1 Database'!$H:$H,'2.2 P&amp;L statement'!$A21, '2.1 Database'!E:E)/1000000</f>
        <v>-0.48846512199999997</v>
      </c>
      <c r="C21" s="37">
        <f>SUMIF('2.1 Database'!$H:$H,'2.2 P&amp;L statement'!$A21, '2.1 Database'!F:F)/1000000</f>
        <v>-0.98419196500000017</v>
      </c>
      <c r="D21" s="37">
        <f>SUMIF('2.1 Database'!$H:$H,'2.2 P&amp;L statement'!$A21, '2.1 Database'!G:G)/1000000</f>
        <v>-0.36496502599999997</v>
      </c>
      <c r="E21" s="41" t="str">
        <f t="shared" si="0"/>
        <v>&gt;100.0%</v>
      </c>
      <c r="F21" s="41">
        <f t="shared" si="1"/>
        <v>-0.62917292664546398</v>
      </c>
    </row>
    <row r="22" spans="1:6" ht="16.5" thickBot="1" x14ac:dyDescent="0.3">
      <c r="A22" s="35" t="s">
        <v>239</v>
      </c>
      <c r="B22" s="39">
        <f>SUM(B20:B21)</f>
        <v>8.843855182000004</v>
      </c>
      <c r="C22" s="39">
        <f t="shared" ref="C22:D22" si="7">SUM(C20:C21)</f>
        <v>-3.2966380350000035</v>
      </c>
      <c r="D22" s="39">
        <f t="shared" si="7"/>
        <v>6.3004352179999996</v>
      </c>
      <c r="E22" s="41" t="str">
        <f>IF(ISERROR((C22/B22)-1), "n.a.", IF(((C22/B22)-1)&gt;1, "&gt;100.0%", IF(((C22/B22)-1)&lt;-1, "&lt;-100.0%", ((C22/B22)-1))))</f>
        <v>&lt;-100.0%</v>
      </c>
      <c r="F22" s="41" t="str">
        <f>IF(ISERROR((D22/C22)-1), "n.a.", IF(((D22/C22)-1)&gt;1, "&gt;100.0%", IF(((D22/C22)-1)&lt;-1, "&lt;-100.0%", ((D22/C22)-1))))</f>
        <v>&lt;-100.0%</v>
      </c>
    </row>
    <row r="23" spans="1:6" ht="15.75" x14ac:dyDescent="0.25">
      <c r="A23" s="36"/>
    </row>
    <row r="26" spans="1:6" x14ac:dyDescent="0.25">
      <c r="A26" s="45" t="s">
        <v>244</v>
      </c>
      <c r="B26" s="46"/>
      <c r="C26" s="46"/>
      <c r="D26" s="46"/>
    </row>
    <row r="27" spans="1:6" x14ac:dyDescent="0.25">
      <c r="A27" s="46" t="s">
        <v>245</v>
      </c>
      <c r="B27" s="47">
        <f>B8/B6</f>
        <v>0.80329281353949789</v>
      </c>
      <c r="C27" s="47">
        <f t="shared" ref="C27:D27" si="8">C8/C6</f>
        <v>0.78617651207460404</v>
      </c>
      <c r="D27" s="47">
        <f t="shared" si="8"/>
        <v>0.76713802878337045</v>
      </c>
    </row>
    <row r="28" spans="1:6" x14ac:dyDescent="0.25">
      <c r="A28" s="46" t="s">
        <v>246</v>
      </c>
      <c r="B28" s="47">
        <f>B15/B6</f>
        <v>0.6325942759033929</v>
      </c>
      <c r="C28" s="47">
        <f t="shared" ref="C28:D28" si="9">C15/C6</f>
        <v>0.3473054443336549</v>
      </c>
      <c r="D28" s="47">
        <f t="shared" si="9"/>
        <v>0.43115359275336901</v>
      </c>
    </row>
    <row r="29" spans="1:6" x14ac:dyDescent="0.25">
      <c r="A29" s="46" t="s">
        <v>247</v>
      </c>
      <c r="B29" s="47">
        <f>B20/B6</f>
        <v>0.41448883336752324</v>
      </c>
      <c r="C29" s="47">
        <f t="shared" ref="C29:D29" si="10">C20/C6</f>
        <v>-9.0506716894738701E-2</v>
      </c>
      <c r="D29" s="47">
        <f t="shared" si="10"/>
        <v>0.27354188281144692</v>
      </c>
    </row>
  </sheetData>
  <phoneticPr fontId="24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Index --&gt;</vt:lpstr>
      <vt:lpstr>Index</vt:lpstr>
      <vt:lpstr>1.1 FY2016</vt:lpstr>
      <vt:lpstr>1.2 FY2017</vt:lpstr>
      <vt:lpstr>1.3 FY2018</vt:lpstr>
      <vt:lpstr>2.1 Database</vt:lpstr>
      <vt:lpstr>2.2 P&amp;L statement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2022-05-09T22:57:01Z</dcterms:modified>
</cp:coreProperties>
</file>